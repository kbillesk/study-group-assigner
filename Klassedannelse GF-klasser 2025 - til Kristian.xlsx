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oedkildegym-my.sharepoint.com/personal/ps_roedkilde-gym_dk/Documents/0.0 Skemalægger/2025/"/>
    </mc:Choice>
  </mc:AlternateContent>
  <xr:revisionPtr revIDLastSave="0" documentId="8_{2F63D77E-193A-4DF3-B92D-805ADD2F03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lasser" sheetId="1" r:id="rId1"/>
    <sheet name="Kunst og spr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2" l="1"/>
  <c r="I25" i="2"/>
  <c r="H25" i="2"/>
  <c r="G25" i="2"/>
  <c r="J25" i="2" s="1"/>
  <c r="K12" i="2"/>
  <c r="J12" i="2"/>
  <c r="I12" i="2"/>
  <c r="H12" i="2"/>
  <c r="G12" i="2"/>
  <c r="L12" i="2" s="1"/>
  <c r="D12" i="2"/>
  <c r="C12" i="2"/>
  <c r="B12" i="2"/>
  <c r="P11" i="2"/>
  <c r="L11" i="2"/>
  <c r="L10" i="2"/>
  <c r="L9" i="2"/>
  <c r="L8" i="2"/>
  <c r="R7" i="2"/>
  <c r="R11" i="2" s="1"/>
  <c r="L7" i="2"/>
  <c r="L6" i="2"/>
  <c r="L5" i="2"/>
  <c r="L4" i="2"/>
  <c r="L3" i="2"/>
</calcChain>
</file>

<file path=xl/sharedStrings.xml><?xml version="1.0" encoding="utf-8"?>
<sst xmlns="http://schemas.openxmlformats.org/spreadsheetml/2006/main" count="1011" uniqueCount="145">
  <si>
    <t>Køn</t>
  </si>
  <si>
    <t>Navn</t>
  </si>
  <si>
    <t>2. fremmedsprog</t>
  </si>
  <si>
    <t>Kunstnerisk fag</t>
  </si>
  <si>
    <t>Afgangsskole-navn</t>
  </si>
  <si>
    <t>K</t>
  </si>
  <si>
    <t>Tysk fortsætter B</t>
  </si>
  <si>
    <t>Designfag C</t>
  </si>
  <si>
    <t>G1</t>
  </si>
  <si>
    <t>Skyum Idrætsefterskole (785301)</t>
  </si>
  <si>
    <t>Kirstine Seligmanns Skole (631018)</t>
  </si>
  <si>
    <t>Midtjysk Efterskole (625300)</t>
  </si>
  <si>
    <t>Tronsø Efterskole og Fri Fagskole (280926)</t>
  </si>
  <si>
    <t>True North Efterskole Snaptun (280443)</t>
  </si>
  <si>
    <t>M</t>
  </si>
  <si>
    <t>Vejle Idrætshøjskole &amp; Vejle Idrætsefterskole (efterskoledelen) (630300)</t>
  </si>
  <si>
    <t>Bøvling Fri- og Idrætsefterskole (efterskole) (665306)</t>
  </si>
  <si>
    <t>Sydvestjyllands Efterskole (557303)</t>
  </si>
  <si>
    <t>Rejsby Europæiske Efterskole (531300)</t>
  </si>
  <si>
    <t>Design- &amp; Idrætsefterskolen Skamling (509300)</t>
  </si>
  <si>
    <t>Glamsdalens Idrætsefterskole (433303)</t>
  </si>
  <si>
    <t>Petersmindeskolen (631012)</t>
  </si>
  <si>
    <t>Den Tyske Efterskole Tinglev (539300)</t>
  </si>
  <si>
    <t>Skolerne i Oure - Sport &amp; Performance (435301)</t>
  </si>
  <si>
    <t>Stjernevejskolen (613012)</t>
  </si>
  <si>
    <t>Adventure Efterskolen Sønderjylland Skelde (507301)</t>
  </si>
  <si>
    <t>Himmelbjergegnens Natur- og Idrætsefterskole (737301)</t>
  </si>
  <si>
    <t>Skrødstrup Efterskole (719300)</t>
  </si>
  <si>
    <t>Nørre Aaby Efterskole (451300)</t>
  </si>
  <si>
    <t>Sct. Norberts Skole (631019)</t>
  </si>
  <si>
    <t>Søndermarksskolen (631014)</t>
  </si>
  <si>
    <t>Musik C</t>
  </si>
  <si>
    <t>G2</t>
  </si>
  <si>
    <t>Spansk begynder A</t>
  </si>
  <si>
    <t>Grejsdalens Efterskole (631300)</t>
  </si>
  <si>
    <t>Vesterlund Efterskole (611300)</t>
  </si>
  <si>
    <t>Mølholm Skole (631009)</t>
  </si>
  <si>
    <t>Efterskolen Solgården (655302)</t>
  </si>
  <si>
    <t>Mariager Høj- &amp; Efterskole (Efterskolen) (719302)</t>
  </si>
  <si>
    <t>Hellebjerg Idrætsefterskole (619300)</t>
  </si>
  <si>
    <t>Hou Maritime Idrætsefterskole (727305)</t>
  </si>
  <si>
    <t>Ågård Efterskole (605302)</t>
  </si>
  <si>
    <t>Vestbirk Musik- &amp; Sportsefterskole (609301)</t>
  </si>
  <si>
    <t>Vandel Efterskole (605301)</t>
  </si>
  <si>
    <t>Ølgod Efterskole (577300)</t>
  </si>
  <si>
    <t>Agerskov Ungdomsskole (525300)</t>
  </si>
  <si>
    <t>Koldingegnens Idrætsefterskole (621304)</t>
  </si>
  <si>
    <t>Tørring Skole (627004)</t>
  </si>
  <si>
    <t>Fælleshåbsskolen (280333)</t>
  </si>
  <si>
    <t>Englystskolen (603005)</t>
  </si>
  <si>
    <t>Fransk begynder A</t>
  </si>
  <si>
    <t>Risskov Efterskole (280307)</t>
  </si>
  <si>
    <t>Billedkunst C</t>
  </si>
  <si>
    <t>G3</t>
  </si>
  <si>
    <t>Lystruphave Efterskole (749300)</t>
  </si>
  <si>
    <t>Scienceefterskolen Nordborg Slot (523300)</t>
  </si>
  <si>
    <t>Nøvlingskov Efterskole (677300)</t>
  </si>
  <si>
    <t>Faaborgegnens Efterskole (431304)</t>
  </si>
  <si>
    <t>Vejle Midtbyskole, afdeling Strandgade (281814)</t>
  </si>
  <si>
    <t>Fjordvang Efterskole (667300)</t>
  </si>
  <si>
    <t>Bjerre Gymnastik- og Idrætsefterskole Akademiet (619301)</t>
  </si>
  <si>
    <t>Ryslinge Høj- og Efterskole (efterskoledelen) (430300)</t>
  </si>
  <si>
    <t>Vejlefjordskolen (grundskole) (613009)</t>
  </si>
  <si>
    <t>Flemming Efterskole (627300)</t>
  </si>
  <si>
    <t>Elbæk Efterskole (609300)</t>
  </si>
  <si>
    <t>Bredsten-Gadbjerg skole. Bredsten afdeling (280335)</t>
  </si>
  <si>
    <t>NOVAskolen (631011)</t>
  </si>
  <si>
    <t>G4</t>
  </si>
  <si>
    <t>Hældagerskolen (631017)</t>
  </si>
  <si>
    <t>Idrætsefterskolen Lægården (661300)</t>
  </si>
  <si>
    <t>Mediefag C</t>
  </si>
  <si>
    <t>Øse Efterskole (567300)</t>
  </si>
  <si>
    <t>Vrigsted Efterskole (619308)</t>
  </si>
  <si>
    <t>Kirkebakkeskolen (631006)</t>
  </si>
  <si>
    <t>Lukas-Skolen (631029)</t>
  </si>
  <si>
    <t>Dramatik C</t>
  </si>
  <si>
    <t>Lunderskov Efterskole (623301)</t>
  </si>
  <si>
    <t>Brøruphus Efterskole (745300)</t>
  </si>
  <si>
    <t>G5</t>
  </si>
  <si>
    <t>Bramming Gymnastik- og Idrætsefterskole (557300)</t>
  </si>
  <si>
    <t>Sportsefterskolen SINE (521302)</t>
  </si>
  <si>
    <t>Løsning Skole (613005)</t>
  </si>
  <si>
    <t>Vardeegnens Gymnasieforberedende Efterskole (573300)</t>
  </si>
  <si>
    <t>Lyngs Idrætsefterskole (675301)</t>
  </si>
  <si>
    <t>G6</t>
  </si>
  <si>
    <t>Silkeborg Efterskole (280308)</t>
  </si>
  <si>
    <t>Skolen i Midten (766001)</t>
  </si>
  <si>
    <t>Hedensted Skole (613002)</t>
  </si>
  <si>
    <t>Bredballe Privatskole (280537)</t>
  </si>
  <si>
    <t>Efterskolen PLAY (281861)</t>
  </si>
  <si>
    <t>Husby Efterskole (679304)</t>
  </si>
  <si>
    <t>Broby Fri- og Efterskole (efterskole) (425300)</t>
  </si>
  <si>
    <t>Hammerum Fri- og Efterskole (efterskolen) (657300)</t>
  </si>
  <si>
    <t>G7</t>
  </si>
  <si>
    <t>Skanderborg Ungdomsskole (746211)</t>
  </si>
  <si>
    <t>Klank Efterskole (703300)</t>
  </si>
  <si>
    <t>Blåkilde Efterskole (655300)</t>
  </si>
  <si>
    <t>Brejning Efterskole (603301)</t>
  </si>
  <si>
    <t>Balle Friskole, Balle Musik- &amp; Idrætsefterskole (605300)</t>
  </si>
  <si>
    <t>G8</t>
  </si>
  <si>
    <t>Kerteminde Efterskole (439300)</t>
  </si>
  <si>
    <t>Skibelund Gymnastik- og Idrætsefterskole (575300)</t>
  </si>
  <si>
    <t>Fredericia Realskole (607015)</t>
  </si>
  <si>
    <t>Ranum Efterskole (827300)</t>
  </si>
  <si>
    <t>Vejle Midtbyskole (281814)</t>
  </si>
  <si>
    <t>G9</t>
  </si>
  <si>
    <t>Vedersø Idrætsefterskole (667303)</t>
  </si>
  <si>
    <t>Ladelund Efterskole (575306)</t>
  </si>
  <si>
    <t>Kongensgaard Efterskole (665309)</t>
  </si>
  <si>
    <t>10. Klasse UngdomsCenter Vejle (631034)</t>
  </si>
  <si>
    <t>Venø Efterskole (671303)</t>
  </si>
  <si>
    <t>Hjemly Fri- og Idrætsefterskole (473300)</t>
  </si>
  <si>
    <t>Efterskolen Ådalen og Åskolen - friskolen i Hørning (efterskolen) (715300)</t>
  </si>
  <si>
    <t>Vejle Privatskole (280474)</t>
  </si>
  <si>
    <t>Klassedannelse</t>
  </si>
  <si>
    <t>mu/2 = G3</t>
  </si>
  <si>
    <t>Antal</t>
  </si>
  <si>
    <t>bk</t>
  </si>
  <si>
    <t>de</t>
  </si>
  <si>
    <t>dr</t>
  </si>
  <si>
    <t>me</t>
  </si>
  <si>
    <t>mu</t>
  </si>
  <si>
    <t>mu/1 = G2</t>
  </si>
  <si>
    <t>bk/1 = G4G6</t>
  </si>
  <si>
    <t>me/1 = G4/G6</t>
  </si>
  <si>
    <t>bk/2 = G5/G8</t>
  </si>
  <si>
    <t>me/2 = G5/G8</t>
  </si>
  <si>
    <t>bk/3 = G7/G9</t>
  </si>
  <si>
    <t>me/3 = G7/G9</t>
  </si>
  <si>
    <t>bk/4 = G3</t>
  </si>
  <si>
    <t>G1 de</t>
  </si>
  <si>
    <t>G2 de</t>
  </si>
  <si>
    <t>FR</t>
  </si>
  <si>
    <t>SP</t>
  </si>
  <si>
    <t>Ty</t>
  </si>
  <si>
    <t>FR/1  = G2/G3/G4</t>
  </si>
  <si>
    <t>SP/1 = G6</t>
  </si>
  <si>
    <t>SP/2 = G3/G8</t>
  </si>
  <si>
    <t>SP/3 = G2/G4/G9</t>
  </si>
  <si>
    <t>Ty/1 = G1</t>
  </si>
  <si>
    <t>Ty/2 = G5</t>
  </si>
  <si>
    <t>Ty/3 = G7</t>
  </si>
  <si>
    <t>Ty/4 = G3/G8</t>
  </si>
  <si>
    <t>Ty/5 = G4/G9</t>
  </si>
  <si>
    <t>Ty/6 =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</si>
</sst>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 applyAlignment="1">
      <alignment horizontal="right"/>
    </xf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3" fillId="0" borderId="4" xfId="0" applyFont="1" applyBorder="1"/>
    <xf numFmtId="0" fontId="1" fillId="0" borderId="4" xfId="0" applyFont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2" fillId="2" borderId="0" xfId="0" applyFont="1" applyFill="1"/>
    <xf numFmtId="0" fontId="4" fillId="0" borderId="1" xfId="0" applyFont="1" applyBorder="1"/>
    <xf numFmtId="0" fontId="1" fillId="0" borderId="0" xfId="0" applyFont="1"/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1" fillId="0" borderId="5" xfId="0" applyFont="1" applyBorder="1"/>
    <xf numFmtId="0" fontId="2" fillId="0" borderId="5" xfId="0" applyFont="1" applyBorder="1"/>
    <xf numFmtId="0" fontId="3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7870A-ACD9-41BD-8D67-9DDB984B1101}" name="Tabel1" displayName="Tabel1" ref="A1:E241" totalsRowShown="0" headerRowDxfId="0" dataDxfId="1" headerRowBorderDxfId="8" tableBorderDxfId="9" totalsRowBorderDxfId="7">
  <autoFilter ref="A1:E241" xr:uid="{F037870A-ACD9-41BD-8D67-9DDB984B1101}"/>
  <sortState xmlns:xlrd2="http://schemas.microsoft.com/office/spreadsheetml/2017/richdata2" ref="A2:E241">
    <sortCondition ref="B1:B241"/>
  </sortState>
  <tableColumns count="5">
    <tableColumn id="1" xr3:uid="{DD61CAB6-D774-4666-BF5A-8A28126F6372}" name="Køn" dataDxfId="6"/>
    <tableColumn id="2" xr3:uid="{18405678-2A71-42CB-812B-6D90C17E2248}" name="Navn" dataDxfId="5"/>
    <tableColumn id="3" xr3:uid="{2444FD2C-9169-4828-88DA-0FFEFA622F5D}" name="2. fremmedsprog" dataDxfId="4"/>
    <tableColumn id="4" xr3:uid="{6BD3A718-8F07-4F87-933A-E3D7D70CD713}" name="Kunstnerisk fag" dataDxfId="3"/>
    <tableColumn id="7" xr3:uid="{A66D9B51-9A5A-48A3-8F28-3594E5D6235A}" name="Afgangsskole-navn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241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2.6640625" defaultRowHeight="15.75" customHeight="1"/>
  <cols>
    <col min="1" max="1" width="6.5546875" customWidth="1"/>
    <col min="2" max="2" width="46.44140625" customWidth="1"/>
    <col min="3" max="3" width="18.44140625" customWidth="1"/>
    <col min="4" max="4" width="17" customWidth="1"/>
    <col min="5" max="5" width="60.88671875" customWidth="1"/>
  </cols>
  <sheetData>
    <row r="1" spans="1:5" ht="13.8">
      <c r="A1" s="8" t="s">
        <v>0</v>
      </c>
      <c r="B1" s="6" t="s">
        <v>1</v>
      </c>
      <c r="C1" s="6" t="s">
        <v>2</v>
      </c>
      <c r="D1" s="6" t="s">
        <v>3</v>
      </c>
      <c r="E1" s="23" t="s">
        <v>4</v>
      </c>
    </row>
    <row r="2" spans="1:5" ht="13.8">
      <c r="A2" s="5" t="s">
        <v>14</v>
      </c>
      <c r="B2" s="1">
        <v>1</v>
      </c>
      <c r="C2" s="1" t="s">
        <v>33</v>
      </c>
      <c r="D2" s="1" t="s">
        <v>70</v>
      </c>
      <c r="E2" s="20" t="s">
        <v>29</v>
      </c>
    </row>
    <row r="3" spans="1:5" ht="13.8">
      <c r="A3" s="5" t="s">
        <v>5</v>
      </c>
      <c r="B3" s="1">
        <v>2</v>
      </c>
      <c r="C3" s="1" t="s">
        <v>6</v>
      </c>
      <c r="D3" s="1" t="s">
        <v>52</v>
      </c>
      <c r="E3" s="20" t="s">
        <v>68</v>
      </c>
    </row>
    <row r="4" spans="1:5" ht="13.8">
      <c r="A4" s="5" t="s">
        <v>5</v>
      </c>
      <c r="B4" s="1">
        <v>3</v>
      </c>
      <c r="C4" s="1" t="s">
        <v>6</v>
      </c>
      <c r="D4" s="1" t="s">
        <v>52</v>
      </c>
      <c r="E4" s="20" t="s">
        <v>69</v>
      </c>
    </row>
    <row r="5" spans="1:5" ht="13.8">
      <c r="A5" s="5" t="s">
        <v>14</v>
      </c>
      <c r="B5" s="1">
        <v>4</v>
      </c>
      <c r="C5" s="1" t="s">
        <v>6</v>
      </c>
      <c r="D5" s="1" t="s">
        <v>70</v>
      </c>
      <c r="E5" s="20" t="s">
        <v>40</v>
      </c>
    </row>
    <row r="6" spans="1:5" ht="13.8">
      <c r="A6" s="5" t="s">
        <v>5</v>
      </c>
      <c r="B6" s="1">
        <v>5</v>
      </c>
      <c r="C6" s="1" t="s">
        <v>6</v>
      </c>
      <c r="D6" s="1" t="s">
        <v>7</v>
      </c>
      <c r="E6" s="20" t="s">
        <v>9</v>
      </c>
    </row>
    <row r="7" spans="1:5" ht="13.8">
      <c r="A7" s="5" t="s">
        <v>5</v>
      </c>
      <c r="B7" s="1">
        <v>6</v>
      </c>
      <c r="C7" s="1" t="s">
        <v>6</v>
      </c>
      <c r="D7" s="1" t="s">
        <v>52</v>
      </c>
      <c r="E7" s="20" t="s">
        <v>49</v>
      </c>
    </row>
    <row r="8" spans="1:5" ht="13.8">
      <c r="A8" s="5" t="s">
        <v>14</v>
      </c>
      <c r="B8" s="1">
        <v>7</v>
      </c>
      <c r="C8" s="1" t="s">
        <v>6</v>
      </c>
      <c r="D8" s="1" t="s">
        <v>31</v>
      </c>
      <c r="E8" s="20" t="s">
        <v>24</v>
      </c>
    </row>
    <row r="9" spans="1:5" ht="13.8">
      <c r="A9" s="5" t="s">
        <v>5</v>
      </c>
      <c r="B9" s="1">
        <v>8</v>
      </c>
      <c r="C9" s="1" t="s">
        <v>6</v>
      </c>
      <c r="D9" s="1" t="s">
        <v>52</v>
      </c>
      <c r="E9" s="20" t="s">
        <v>60</v>
      </c>
    </row>
    <row r="10" spans="1:5" ht="13.8">
      <c r="A10" s="18" t="s">
        <v>5</v>
      </c>
      <c r="B10" s="1">
        <v>9</v>
      </c>
      <c r="C10" s="2" t="s">
        <v>6</v>
      </c>
      <c r="D10" s="2" t="s">
        <v>52</v>
      </c>
      <c r="E10" s="21" t="s">
        <v>10</v>
      </c>
    </row>
    <row r="11" spans="1:5" ht="13.8">
      <c r="A11" s="18" t="s">
        <v>5</v>
      </c>
      <c r="B11" s="1">
        <v>10</v>
      </c>
      <c r="C11" s="2" t="s">
        <v>33</v>
      </c>
      <c r="D11" s="2" t="s">
        <v>52</v>
      </c>
      <c r="E11" s="21" t="s">
        <v>87</v>
      </c>
    </row>
    <row r="12" spans="1:5" ht="13.8">
      <c r="A12" s="5" t="s">
        <v>5</v>
      </c>
      <c r="B12" s="1">
        <v>11</v>
      </c>
      <c r="C12" s="1" t="s">
        <v>33</v>
      </c>
      <c r="D12" s="1" t="s">
        <v>52</v>
      </c>
      <c r="E12" s="20" t="s">
        <v>10</v>
      </c>
    </row>
    <row r="13" spans="1:5" ht="13.8">
      <c r="A13" s="5" t="s">
        <v>14</v>
      </c>
      <c r="B13" s="1">
        <v>12</v>
      </c>
      <c r="C13" s="1" t="s">
        <v>6</v>
      </c>
      <c r="D13" s="1" t="s">
        <v>70</v>
      </c>
      <c r="E13" s="20" t="s">
        <v>94</v>
      </c>
    </row>
    <row r="14" spans="1:5" ht="13.8">
      <c r="A14" s="5" t="s">
        <v>5</v>
      </c>
      <c r="B14" s="1">
        <v>13</v>
      </c>
      <c r="C14" s="1" t="s">
        <v>33</v>
      </c>
      <c r="D14" s="1" t="s">
        <v>52</v>
      </c>
      <c r="E14" s="20" t="s">
        <v>40</v>
      </c>
    </row>
    <row r="15" spans="1:5" ht="13.8">
      <c r="A15" s="18" t="s">
        <v>5</v>
      </c>
      <c r="B15" s="1">
        <v>14</v>
      </c>
      <c r="C15" s="2" t="s">
        <v>6</v>
      </c>
      <c r="D15" s="2" t="s">
        <v>7</v>
      </c>
      <c r="E15" s="21" t="s">
        <v>10</v>
      </c>
    </row>
    <row r="16" spans="1:5" ht="13.8">
      <c r="A16" s="5" t="s">
        <v>14</v>
      </c>
      <c r="B16" s="1">
        <v>15</v>
      </c>
      <c r="C16" s="1" t="s">
        <v>33</v>
      </c>
      <c r="D16" s="1" t="s">
        <v>70</v>
      </c>
      <c r="E16" s="20" t="s">
        <v>29</v>
      </c>
    </row>
    <row r="17" spans="1:5" ht="13.8">
      <c r="A17" s="5" t="s">
        <v>5</v>
      </c>
      <c r="B17" s="1">
        <v>16</v>
      </c>
      <c r="C17" s="1" t="s">
        <v>6</v>
      </c>
      <c r="D17" s="1" t="s">
        <v>52</v>
      </c>
      <c r="E17" s="20" t="s">
        <v>21</v>
      </c>
    </row>
    <row r="18" spans="1:5" ht="13.8">
      <c r="A18" s="5" t="s">
        <v>5</v>
      </c>
      <c r="B18" s="1">
        <v>17</v>
      </c>
      <c r="C18" s="1" t="s">
        <v>33</v>
      </c>
      <c r="D18" s="1" t="s">
        <v>52</v>
      </c>
      <c r="E18" s="20" t="s">
        <v>51</v>
      </c>
    </row>
    <row r="19" spans="1:5" ht="13.8">
      <c r="A19" s="5" t="s">
        <v>5</v>
      </c>
      <c r="B19" s="1">
        <v>18</v>
      </c>
      <c r="C19" s="1" t="s">
        <v>6</v>
      </c>
      <c r="D19" s="1" t="s">
        <v>52</v>
      </c>
      <c r="E19" s="20" t="s">
        <v>9</v>
      </c>
    </row>
    <row r="20" spans="1:5" ht="13.8">
      <c r="A20" s="5" t="s">
        <v>5</v>
      </c>
      <c r="B20" s="1">
        <v>19</v>
      </c>
      <c r="C20" s="1" t="s">
        <v>6</v>
      </c>
      <c r="D20" s="1" t="s">
        <v>70</v>
      </c>
      <c r="E20" s="20" t="s">
        <v>23</v>
      </c>
    </row>
    <row r="21" spans="1:5" ht="13.8">
      <c r="A21" s="5" t="s">
        <v>5</v>
      </c>
      <c r="B21" s="1">
        <v>20</v>
      </c>
      <c r="C21" s="1" t="s">
        <v>6</v>
      </c>
      <c r="D21" s="1" t="s">
        <v>7</v>
      </c>
      <c r="E21" s="20" t="s">
        <v>11</v>
      </c>
    </row>
    <row r="22" spans="1:5" ht="13.8">
      <c r="A22" s="5" t="s">
        <v>5</v>
      </c>
      <c r="B22" s="1">
        <v>21</v>
      </c>
      <c r="C22" s="1" t="s">
        <v>6</v>
      </c>
      <c r="D22" s="1" t="s">
        <v>52</v>
      </c>
      <c r="E22" s="20" t="s">
        <v>29</v>
      </c>
    </row>
    <row r="23" spans="1:5" ht="13.8">
      <c r="A23" s="5" t="s">
        <v>14</v>
      </c>
      <c r="B23" s="1">
        <v>22</v>
      </c>
      <c r="C23" s="1" t="s">
        <v>50</v>
      </c>
      <c r="D23" s="1" t="s">
        <v>70</v>
      </c>
      <c r="E23" s="20" t="s">
        <v>71</v>
      </c>
    </row>
    <row r="24" spans="1:5" ht="13.8">
      <c r="A24" s="5" t="s">
        <v>5</v>
      </c>
      <c r="B24" s="1">
        <v>23</v>
      </c>
      <c r="C24" s="1" t="s">
        <v>33</v>
      </c>
      <c r="D24" s="1" t="s">
        <v>7</v>
      </c>
      <c r="E24" s="20" t="s">
        <v>34</v>
      </c>
    </row>
    <row r="25" spans="1:5" ht="13.8">
      <c r="A25" s="5" t="s">
        <v>14</v>
      </c>
      <c r="B25" s="1">
        <v>24</v>
      </c>
      <c r="C25" s="1" t="s">
        <v>33</v>
      </c>
      <c r="D25" s="1" t="s">
        <v>7</v>
      </c>
      <c r="E25" s="20" t="s">
        <v>35</v>
      </c>
    </row>
    <row r="26" spans="1:5" ht="13.8">
      <c r="A26" s="5" t="s">
        <v>14</v>
      </c>
      <c r="B26" s="1">
        <v>25</v>
      </c>
      <c r="C26" s="1" t="s">
        <v>6</v>
      </c>
      <c r="D26" s="1" t="s">
        <v>31</v>
      </c>
      <c r="E26" s="20" t="s">
        <v>36</v>
      </c>
    </row>
    <row r="27" spans="1:5" ht="13.8">
      <c r="A27" s="5" t="s">
        <v>5</v>
      </c>
      <c r="B27" s="1">
        <v>26</v>
      </c>
      <c r="C27" s="1" t="s">
        <v>33</v>
      </c>
      <c r="D27" s="1" t="s">
        <v>52</v>
      </c>
      <c r="E27" s="20" t="s">
        <v>85</v>
      </c>
    </row>
    <row r="28" spans="1:5" ht="13.8">
      <c r="A28" s="5" t="s">
        <v>5</v>
      </c>
      <c r="B28" s="1">
        <v>27</v>
      </c>
      <c r="C28" s="1" t="s">
        <v>6</v>
      </c>
      <c r="D28" s="1" t="s">
        <v>7</v>
      </c>
      <c r="E28" s="20" t="s">
        <v>12</v>
      </c>
    </row>
    <row r="29" spans="1:5" ht="13.8">
      <c r="A29" s="5" t="s">
        <v>5</v>
      </c>
      <c r="B29" s="1">
        <v>28</v>
      </c>
      <c r="C29" s="1" t="s">
        <v>6</v>
      </c>
      <c r="D29" s="1" t="s">
        <v>31</v>
      </c>
      <c r="E29" s="20" t="s">
        <v>37</v>
      </c>
    </row>
    <row r="30" spans="1:5" ht="13.8">
      <c r="A30" s="5" t="s">
        <v>5</v>
      </c>
      <c r="B30" s="1">
        <v>29</v>
      </c>
      <c r="C30" s="1" t="s">
        <v>50</v>
      </c>
      <c r="D30" s="1" t="s">
        <v>31</v>
      </c>
      <c r="E30" s="20" t="s">
        <v>21</v>
      </c>
    </row>
    <row r="31" spans="1:5" ht="13.8">
      <c r="A31" s="5" t="s">
        <v>5</v>
      </c>
      <c r="B31" s="1">
        <v>30</v>
      </c>
      <c r="C31" s="1" t="s">
        <v>6</v>
      </c>
      <c r="D31" s="1" t="s">
        <v>7</v>
      </c>
      <c r="E31" s="20" t="s">
        <v>13</v>
      </c>
    </row>
    <row r="32" spans="1:5" ht="13.8">
      <c r="A32" s="5" t="s">
        <v>14</v>
      </c>
      <c r="B32" s="1">
        <v>31</v>
      </c>
      <c r="C32" s="1" t="s">
        <v>6</v>
      </c>
      <c r="D32" s="1" t="s">
        <v>52</v>
      </c>
      <c r="E32" s="20" t="s">
        <v>10</v>
      </c>
    </row>
    <row r="33" spans="1:5" ht="13.8">
      <c r="A33" s="5" t="s">
        <v>14</v>
      </c>
      <c r="B33" s="1">
        <v>32</v>
      </c>
      <c r="C33" s="1" t="s">
        <v>6</v>
      </c>
      <c r="D33" s="1" t="s">
        <v>70</v>
      </c>
      <c r="E33" s="20" t="s">
        <v>74</v>
      </c>
    </row>
    <row r="34" spans="1:5" ht="13.8">
      <c r="A34" s="5" t="s">
        <v>5</v>
      </c>
      <c r="B34" s="1">
        <v>33</v>
      </c>
      <c r="C34" s="1" t="s">
        <v>50</v>
      </c>
      <c r="D34" s="1" t="s">
        <v>52</v>
      </c>
      <c r="E34" s="20"/>
    </row>
    <row r="35" spans="1:5" ht="13.8">
      <c r="A35" s="5" t="s">
        <v>14</v>
      </c>
      <c r="B35" s="1">
        <v>34</v>
      </c>
      <c r="C35" s="1" t="s">
        <v>6</v>
      </c>
      <c r="D35" s="1" t="s">
        <v>7</v>
      </c>
      <c r="E35" s="20" t="s">
        <v>15</v>
      </c>
    </row>
    <row r="36" spans="1:5" ht="13.8">
      <c r="A36" s="5" t="s">
        <v>14</v>
      </c>
      <c r="B36" s="1">
        <v>35</v>
      </c>
      <c r="C36" s="1" t="s">
        <v>6</v>
      </c>
      <c r="D36" s="1" t="s">
        <v>52</v>
      </c>
      <c r="E36" s="20" t="s">
        <v>54</v>
      </c>
    </row>
    <row r="37" spans="1:5" ht="13.8">
      <c r="A37" s="5" t="s">
        <v>5</v>
      </c>
      <c r="B37" s="1">
        <v>36</v>
      </c>
      <c r="C37" s="1" t="s">
        <v>50</v>
      </c>
      <c r="D37" s="1" t="s">
        <v>52</v>
      </c>
      <c r="E37" s="20" t="s">
        <v>55</v>
      </c>
    </row>
    <row r="38" spans="1:5" ht="13.8">
      <c r="A38" s="5" t="s">
        <v>14</v>
      </c>
      <c r="B38" s="1">
        <v>37</v>
      </c>
      <c r="C38" s="1" t="s">
        <v>6</v>
      </c>
      <c r="D38" s="1" t="s">
        <v>70</v>
      </c>
      <c r="E38" s="20" t="s">
        <v>13</v>
      </c>
    </row>
    <row r="39" spans="1:5" ht="13.8">
      <c r="A39" s="5" t="s">
        <v>5</v>
      </c>
      <c r="B39" s="1">
        <v>38</v>
      </c>
      <c r="C39" s="1" t="s">
        <v>6</v>
      </c>
      <c r="D39" s="1" t="s">
        <v>31</v>
      </c>
      <c r="E39" s="20" t="s">
        <v>38</v>
      </c>
    </row>
    <row r="40" spans="1:5" ht="13.8">
      <c r="A40" s="5" t="s">
        <v>14</v>
      </c>
      <c r="B40" s="1">
        <v>39</v>
      </c>
      <c r="C40" s="1" t="s">
        <v>6</v>
      </c>
      <c r="D40" s="1" t="s">
        <v>70</v>
      </c>
      <c r="E40" s="20"/>
    </row>
    <row r="41" spans="1:5" ht="13.8">
      <c r="A41" s="5" t="s">
        <v>14</v>
      </c>
      <c r="B41" s="1">
        <v>40</v>
      </c>
      <c r="C41" s="1" t="s">
        <v>33</v>
      </c>
      <c r="D41" s="1" t="s">
        <v>7</v>
      </c>
      <c r="E41" s="20" t="s">
        <v>39</v>
      </c>
    </row>
    <row r="42" spans="1:5" ht="13.8">
      <c r="A42" s="5" t="s">
        <v>14</v>
      </c>
      <c r="B42" s="1">
        <v>41</v>
      </c>
      <c r="C42" s="1" t="s">
        <v>50</v>
      </c>
      <c r="D42" s="1" t="s">
        <v>70</v>
      </c>
      <c r="E42" s="20" t="s">
        <v>72</v>
      </c>
    </row>
    <row r="43" spans="1:5" ht="13.8">
      <c r="A43" s="5" t="s">
        <v>5</v>
      </c>
      <c r="B43" s="1">
        <v>42</v>
      </c>
      <c r="C43" s="1" t="s">
        <v>33</v>
      </c>
      <c r="D43" s="1" t="s">
        <v>31</v>
      </c>
      <c r="E43" s="20" t="s">
        <v>56</v>
      </c>
    </row>
    <row r="44" spans="1:5" ht="13.8">
      <c r="A44" s="5" t="s">
        <v>5</v>
      </c>
      <c r="B44" s="1">
        <v>43</v>
      </c>
      <c r="C44" s="1" t="s">
        <v>33</v>
      </c>
      <c r="D44" s="1" t="s">
        <v>52</v>
      </c>
      <c r="E44" s="20" t="s">
        <v>106</v>
      </c>
    </row>
    <row r="45" spans="1:5" ht="13.8">
      <c r="A45" s="5" t="s">
        <v>5</v>
      </c>
      <c r="B45" s="1">
        <v>44</v>
      </c>
      <c r="C45" s="1" t="s">
        <v>50</v>
      </c>
      <c r="D45" s="1" t="s">
        <v>70</v>
      </c>
      <c r="E45" s="20" t="s">
        <v>23</v>
      </c>
    </row>
    <row r="46" spans="1:5" ht="13.8">
      <c r="A46" s="5" t="s">
        <v>5</v>
      </c>
      <c r="B46" s="1">
        <v>45</v>
      </c>
      <c r="C46" s="1" t="s">
        <v>6</v>
      </c>
      <c r="D46" s="1" t="s">
        <v>52</v>
      </c>
      <c r="E46" s="20" t="s">
        <v>56</v>
      </c>
    </row>
    <row r="47" spans="1:5" ht="13.8">
      <c r="A47" s="5" t="s">
        <v>5</v>
      </c>
      <c r="B47" s="1">
        <v>46</v>
      </c>
      <c r="C47" s="1" t="s">
        <v>33</v>
      </c>
      <c r="D47" s="1" t="s">
        <v>52</v>
      </c>
      <c r="E47" s="20" t="s">
        <v>86</v>
      </c>
    </row>
    <row r="48" spans="1:5" ht="13.8">
      <c r="A48" s="5" t="s">
        <v>14</v>
      </c>
      <c r="B48" s="1">
        <v>47</v>
      </c>
      <c r="C48" s="1" t="s">
        <v>50</v>
      </c>
      <c r="D48" s="1" t="s">
        <v>70</v>
      </c>
      <c r="E48" s="20" t="s">
        <v>73</v>
      </c>
    </row>
    <row r="49" spans="1:5" ht="13.8">
      <c r="A49" s="5" t="s">
        <v>14</v>
      </c>
      <c r="B49" s="1">
        <v>48</v>
      </c>
      <c r="C49" s="1" t="s">
        <v>6</v>
      </c>
      <c r="D49" s="1" t="s">
        <v>70</v>
      </c>
      <c r="E49" s="20" t="s">
        <v>107</v>
      </c>
    </row>
    <row r="50" spans="1:5" ht="13.8">
      <c r="A50" s="5" t="s">
        <v>5</v>
      </c>
      <c r="B50" s="1">
        <v>49</v>
      </c>
      <c r="C50" s="1" t="s">
        <v>6</v>
      </c>
      <c r="D50" s="1" t="s">
        <v>52</v>
      </c>
      <c r="E50" s="20" t="s">
        <v>41</v>
      </c>
    </row>
    <row r="51" spans="1:5" ht="13.8">
      <c r="A51" s="18" t="s">
        <v>5</v>
      </c>
      <c r="B51" s="1">
        <v>50</v>
      </c>
      <c r="C51" s="2" t="s">
        <v>33</v>
      </c>
      <c r="D51" s="2" t="s">
        <v>52</v>
      </c>
      <c r="E51" s="21" t="s">
        <v>10</v>
      </c>
    </row>
    <row r="52" spans="1:5" ht="13.8">
      <c r="A52" s="5" t="s">
        <v>5</v>
      </c>
      <c r="B52" s="1">
        <v>51</v>
      </c>
      <c r="C52" s="1" t="s">
        <v>6</v>
      </c>
      <c r="D52" s="1" t="s">
        <v>31</v>
      </c>
      <c r="E52" s="20" t="s">
        <v>40</v>
      </c>
    </row>
    <row r="53" spans="1:5" ht="13.8">
      <c r="A53" s="5" t="s">
        <v>5</v>
      </c>
      <c r="B53" s="1">
        <v>52</v>
      </c>
      <c r="C53" s="1" t="s">
        <v>50</v>
      </c>
      <c r="D53" s="1" t="s">
        <v>52</v>
      </c>
      <c r="E53" s="20" t="s">
        <v>57</v>
      </c>
    </row>
    <row r="54" spans="1:5" ht="13.8">
      <c r="A54" s="5" t="s">
        <v>14</v>
      </c>
      <c r="B54" s="1">
        <v>53</v>
      </c>
      <c r="C54" s="1" t="s">
        <v>6</v>
      </c>
      <c r="D54" s="1" t="s">
        <v>70</v>
      </c>
      <c r="E54" s="20" t="s">
        <v>79</v>
      </c>
    </row>
    <row r="55" spans="1:5" ht="16.5" customHeight="1">
      <c r="A55" s="5" t="s">
        <v>14</v>
      </c>
      <c r="B55" s="1">
        <v>54</v>
      </c>
      <c r="C55" s="1" t="s">
        <v>50</v>
      </c>
      <c r="D55" s="3" t="s">
        <v>31</v>
      </c>
      <c r="E55" s="20" t="s">
        <v>58</v>
      </c>
    </row>
    <row r="56" spans="1:5" ht="13.8">
      <c r="A56" s="5" t="s">
        <v>14</v>
      </c>
      <c r="B56" s="1">
        <v>55</v>
      </c>
      <c r="C56" s="1" t="s">
        <v>6</v>
      </c>
      <c r="D56" s="1" t="s">
        <v>7</v>
      </c>
      <c r="E56" s="20" t="s">
        <v>10</v>
      </c>
    </row>
    <row r="57" spans="1:5" ht="13.8">
      <c r="A57" s="5" t="s">
        <v>5</v>
      </c>
      <c r="B57" s="1">
        <v>56</v>
      </c>
      <c r="C57" s="1" t="s">
        <v>6</v>
      </c>
      <c r="D57" s="1" t="s">
        <v>52</v>
      </c>
      <c r="E57" s="20" t="s">
        <v>77</v>
      </c>
    </row>
    <row r="58" spans="1:5" ht="13.8">
      <c r="A58" s="5" t="s">
        <v>5</v>
      </c>
      <c r="B58" s="1">
        <v>57</v>
      </c>
      <c r="C58" s="1" t="s">
        <v>33</v>
      </c>
      <c r="D58" s="1" t="s">
        <v>52</v>
      </c>
      <c r="E58" s="20" t="s">
        <v>51</v>
      </c>
    </row>
    <row r="59" spans="1:5" ht="13.8">
      <c r="A59" s="5" t="s">
        <v>5</v>
      </c>
      <c r="B59" s="1">
        <v>58</v>
      </c>
      <c r="C59" s="1" t="s">
        <v>33</v>
      </c>
      <c r="D59" s="1" t="s">
        <v>7</v>
      </c>
      <c r="E59" s="20" t="s">
        <v>21</v>
      </c>
    </row>
    <row r="60" spans="1:5" ht="13.8">
      <c r="A60" s="5" t="s">
        <v>5</v>
      </c>
      <c r="B60" s="1">
        <v>59</v>
      </c>
      <c r="C60" s="1" t="s">
        <v>6</v>
      </c>
      <c r="D60" s="1" t="s">
        <v>52</v>
      </c>
      <c r="E60" s="20" t="s">
        <v>10</v>
      </c>
    </row>
    <row r="61" spans="1:5" ht="13.8">
      <c r="A61" s="5" t="s">
        <v>14</v>
      </c>
      <c r="B61" s="1">
        <v>60</v>
      </c>
      <c r="C61" s="1" t="s">
        <v>33</v>
      </c>
      <c r="D61" s="1" t="s">
        <v>70</v>
      </c>
      <c r="E61" s="20" t="s">
        <v>60</v>
      </c>
    </row>
    <row r="62" spans="1:5" ht="13.8">
      <c r="A62" s="18" t="s">
        <v>5</v>
      </c>
      <c r="B62" s="1">
        <v>61</v>
      </c>
      <c r="C62" s="2" t="s">
        <v>33</v>
      </c>
      <c r="D62" s="2" t="s">
        <v>52</v>
      </c>
      <c r="E62" s="21" t="s">
        <v>108</v>
      </c>
    </row>
    <row r="63" spans="1:5" ht="13.8">
      <c r="A63" s="5" t="s">
        <v>14</v>
      </c>
      <c r="B63" s="1">
        <v>62</v>
      </c>
      <c r="C63" s="1" t="s">
        <v>6</v>
      </c>
      <c r="D63" s="1" t="s">
        <v>70</v>
      </c>
      <c r="E63" s="20" t="s">
        <v>39</v>
      </c>
    </row>
    <row r="64" spans="1:5" ht="13.8">
      <c r="A64" s="5" t="s">
        <v>5</v>
      </c>
      <c r="B64" s="1">
        <v>63</v>
      </c>
      <c r="C64" s="1" t="s">
        <v>33</v>
      </c>
      <c r="D64" s="1" t="s">
        <v>52</v>
      </c>
      <c r="E64" s="20"/>
    </row>
    <row r="65" spans="1:5" ht="13.8">
      <c r="A65" s="5" t="s">
        <v>5</v>
      </c>
      <c r="B65" s="1">
        <v>64</v>
      </c>
      <c r="C65" s="1" t="s">
        <v>33</v>
      </c>
      <c r="D65" s="1" t="s">
        <v>52</v>
      </c>
      <c r="E65" s="20" t="s">
        <v>86</v>
      </c>
    </row>
    <row r="66" spans="1:5" ht="13.8">
      <c r="A66" s="5" t="s">
        <v>5</v>
      </c>
      <c r="B66" s="1">
        <v>65</v>
      </c>
      <c r="C66" s="1" t="s">
        <v>33</v>
      </c>
      <c r="D66" s="1" t="s">
        <v>70</v>
      </c>
      <c r="E66" s="20" t="s">
        <v>42</v>
      </c>
    </row>
    <row r="67" spans="1:5" ht="13.8">
      <c r="A67" s="5" t="s">
        <v>5</v>
      </c>
      <c r="B67" s="1">
        <v>66</v>
      </c>
      <c r="C67" s="1" t="s">
        <v>6</v>
      </c>
      <c r="D67" s="1" t="s">
        <v>52</v>
      </c>
      <c r="E67" s="20" t="s">
        <v>20</v>
      </c>
    </row>
    <row r="68" spans="1:5" ht="13.8">
      <c r="A68" s="5" t="s">
        <v>5</v>
      </c>
      <c r="B68" s="1">
        <v>67</v>
      </c>
      <c r="C68" s="1" t="s">
        <v>50</v>
      </c>
      <c r="D68" s="1" t="s">
        <v>52</v>
      </c>
      <c r="E68" s="20" t="s">
        <v>59</v>
      </c>
    </row>
    <row r="69" spans="1:5" ht="13.8">
      <c r="A69" s="5" t="s">
        <v>5</v>
      </c>
      <c r="B69" s="1">
        <v>68</v>
      </c>
      <c r="C69" s="1" t="s">
        <v>6</v>
      </c>
      <c r="D69" s="1" t="s">
        <v>52</v>
      </c>
      <c r="E69" s="20" t="s">
        <v>41</v>
      </c>
    </row>
    <row r="70" spans="1:5" ht="13.8">
      <c r="A70" s="5" t="s">
        <v>5</v>
      </c>
      <c r="B70" s="1">
        <v>69</v>
      </c>
      <c r="C70" s="1" t="s">
        <v>33</v>
      </c>
      <c r="D70" s="1" t="s">
        <v>70</v>
      </c>
      <c r="E70" s="20" t="s">
        <v>109</v>
      </c>
    </row>
    <row r="71" spans="1:5" ht="13.8">
      <c r="A71" s="5" t="s">
        <v>5</v>
      </c>
      <c r="B71" s="1">
        <v>70</v>
      </c>
      <c r="C71" s="1" t="s">
        <v>6</v>
      </c>
      <c r="D71" s="1" t="s">
        <v>52</v>
      </c>
      <c r="E71" s="20" t="s">
        <v>10</v>
      </c>
    </row>
    <row r="72" spans="1:5" ht="13.8">
      <c r="A72" s="5" t="s">
        <v>5</v>
      </c>
      <c r="B72" s="1">
        <v>71</v>
      </c>
      <c r="C72" s="1" t="s">
        <v>33</v>
      </c>
      <c r="D72" s="1" t="s">
        <v>52</v>
      </c>
      <c r="E72" s="20" t="s">
        <v>87</v>
      </c>
    </row>
    <row r="73" spans="1:5" ht="13.8">
      <c r="A73" s="5" t="s">
        <v>5</v>
      </c>
      <c r="B73" s="1">
        <v>72</v>
      </c>
      <c r="C73" s="1" t="s">
        <v>6</v>
      </c>
      <c r="D73" s="1" t="s">
        <v>52</v>
      </c>
      <c r="E73" s="20" t="s">
        <v>35</v>
      </c>
    </row>
    <row r="74" spans="1:5" ht="13.8">
      <c r="A74" s="5" t="s">
        <v>5</v>
      </c>
      <c r="B74" s="1">
        <v>73</v>
      </c>
      <c r="C74" s="1" t="s">
        <v>6</v>
      </c>
      <c r="D74" s="1" t="s">
        <v>52</v>
      </c>
      <c r="E74" s="20" t="s">
        <v>79</v>
      </c>
    </row>
    <row r="75" spans="1:5" ht="13.8">
      <c r="A75" s="5" t="s">
        <v>5</v>
      </c>
      <c r="B75" s="1">
        <v>74</v>
      </c>
      <c r="C75" s="1" t="s">
        <v>6</v>
      </c>
      <c r="D75" s="1" t="s">
        <v>70</v>
      </c>
      <c r="E75" s="20" t="s">
        <v>17</v>
      </c>
    </row>
    <row r="76" spans="1:5" ht="13.8">
      <c r="A76" s="5" t="s">
        <v>5</v>
      </c>
      <c r="B76" s="1">
        <v>75</v>
      </c>
      <c r="C76" s="1" t="s">
        <v>6</v>
      </c>
      <c r="D76" s="1" t="s">
        <v>52</v>
      </c>
      <c r="E76" s="20" t="s">
        <v>51</v>
      </c>
    </row>
    <row r="77" spans="1:5" ht="13.8">
      <c r="A77" s="5" t="s">
        <v>14</v>
      </c>
      <c r="B77" s="1">
        <v>76</v>
      </c>
      <c r="C77" s="1" t="s">
        <v>33</v>
      </c>
      <c r="D77" s="1" t="s">
        <v>52</v>
      </c>
      <c r="E77" s="20" t="s">
        <v>25</v>
      </c>
    </row>
    <row r="78" spans="1:5" ht="13.8">
      <c r="A78" s="5" t="s">
        <v>14</v>
      </c>
      <c r="B78" s="1">
        <v>77</v>
      </c>
      <c r="C78" s="1" t="s">
        <v>33</v>
      </c>
      <c r="D78" s="3" t="s">
        <v>70</v>
      </c>
      <c r="E78" s="20" t="s">
        <v>74</v>
      </c>
    </row>
    <row r="79" spans="1:5" ht="13.8">
      <c r="A79" s="5" t="s">
        <v>5</v>
      </c>
      <c r="B79" s="1">
        <v>78</v>
      </c>
      <c r="C79" s="1" t="s">
        <v>6</v>
      </c>
      <c r="D79" s="1" t="s">
        <v>52</v>
      </c>
      <c r="E79" s="20" t="s">
        <v>68</v>
      </c>
    </row>
    <row r="80" spans="1:5" ht="13.8">
      <c r="A80" s="5" t="s">
        <v>5</v>
      </c>
      <c r="B80" s="1">
        <v>79</v>
      </c>
      <c r="C80" s="1" t="s">
        <v>33</v>
      </c>
      <c r="D80" s="1" t="s">
        <v>70</v>
      </c>
      <c r="E80" s="20" t="s">
        <v>51</v>
      </c>
    </row>
    <row r="81" spans="1:5" ht="13.8">
      <c r="A81" s="5" t="s">
        <v>5</v>
      </c>
      <c r="B81" s="1">
        <v>80</v>
      </c>
      <c r="C81" s="1" t="s">
        <v>33</v>
      </c>
      <c r="D81" s="1" t="s">
        <v>52</v>
      </c>
      <c r="E81" s="20" t="s">
        <v>88</v>
      </c>
    </row>
    <row r="82" spans="1:5" ht="13.8">
      <c r="A82" s="5" t="s">
        <v>5</v>
      </c>
      <c r="B82" s="1">
        <v>81</v>
      </c>
      <c r="C82" s="1" t="s">
        <v>6</v>
      </c>
      <c r="D82" s="1" t="s">
        <v>52</v>
      </c>
      <c r="E82" s="20" t="s">
        <v>10</v>
      </c>
    </row>
    <row r="83" spans="1:5" ht="13.8">
      <c r="A83" s="5" t="s">
        <v>14</v>
      </c>
      <c r="B83" s="1">
        <v>82</v>
      </c>
      <c r="C83" s="1" t="s">
        <v>6</v>
      </c>
      <c r="D83" s="1" t="s">
        <v>70</v>
      </c>
      <c r="E83" s="20" t="s">
        <v>35</v>
      </c>
    </row>
    <row r="84" spans="1:5" ht="13.8">
      <c r="A84" s="5" t="s">
        <v>5</v>
      </c>
      <c r="B84" s="1">
        <v>83</v>
      </c>
      <c r="C84" s="1" t="s">
        <v>6</v>
      </c>
      <c r="D84" s="1" t="s">
        <v>52</v>
      </c>
      <c r="E84" s="20" t="s">
        <v>39</v>
      </c>
    </row>
    <row r="85" spans="1:5" ht="13.8">
      <c r="A85" s="5" t="s">
        <v>5</v>
      </c>
      <c r="B85" s="1">
        <v>84</v>
      </c>
      <c r="C85" s="1" t="s">
        <v>6</v>
      </c>
      <c r="D85" s="1" t="s">
        <v>70</v>
      </c>
      <c r="E85" s="20" t="s">
        <v>20</v>
      </c>
    </row>
    <row r="86" spans="1:5" ht="13.8">
      <c r="A86" s="5" t="s">
        <v>5</v>
      </c>
      <c r="B86" s="1">
        <v>85</v>
      </c>
      <c r="C86" s="1" t="s">
        <v>6</v>
      </c>
      <c r="D86" s="1" t="s">
        <v>52</v>
      </c>
      <c r="E86" s="20" t="s">
        <v>60</v>
      </c>
    </row>
    <row r="87" spans="1:5" ht="13.8">
      <c r="A87" s="5" t="s">
        <v>5</v>
      </c>
      <c r="B87" s="1">
        <v>86</v>
      </c>
      <c r="C87" s="1" t="s">
        <v>33</v>
      </c>
      <c r="D87" s="1" t="s">
        <v>70</v>
      </c>
      <c r="E87" s="20" t="s">
        <v>60</v>
      </c>
    </row>
    <row r="88" spans="1:5" ht="13.8">
      <c r="A88" s="5" t="s">
        <v>5</v>
      </c>
      <c r="B88" s="1">
        <v>87</v>
      </c>
      <c r="C88" s="1" t="s">
        <v>6</v>
      </c>
      <c r="D88" s="1" t="s">
        <v>52</v>
      </c>
      <c r="E88" s="20" t="s">
        <v>80</v>
      </c>
    </row>
    <row r="89" spans="1:5" ht="13.8">
      <c r="A89" s="5" t="s">
        <v>5</v>
      </c>
      <c r="B89" s="1">
        <v>88</v>
      </c>
      <c r="C89" s="1" t="s">
        <v>6</v>
      </c>
      <c r="D89" s="1" t="s">
        <v>52</v>
      </c>
      <c r="E89" s="20" t="s">
        <v>100</v>
      </c>
    </row>
    <row r="90" spans="1:5" ht="13.8">
      <c r="A90" s="5" t="s">
        <v>5</v>
      </c>
      <c r="B90" s="1">
        <v>89</v>
      </c>
      <c r="C90" s="1" t="s">
        <v>33</v>
      </c>
      <c r="D90" s="1" t="s">
        <v>52</v>
      </c>
      <c r="E90" s="20" t="s">
        <v>60</v>
      </c>
    </row>
    <row r="91" spans="1:5" ht="13.8">
      <c r="A91" s="18" t="s">
        <v>5</v>
      </c>
      <c r="B91" s="1">
        <v>90</v>
      </c>
      <c r="C91" s="2" t="s">
        <v>6</v>
      </c>
      <c r="D91" s="2" t="s">
        <v>52</v>
      </c>
      <c r="E91" s="21" t="s">
        <v>10</v>
      </c>
    </row>
    <row r="92" spans="1:5" ht="13.8">
      <c r="A92" s="5" t="s">
        <v>5</v>
      </c>
      <c r="B92" s="1">
        <v>91</v>
      </c>
      <c r="C92" s="1" t="s">
        <v>6</v>
      </c>
      <c r="D92" s="1" t="s">
        <v>31</v>
      </c>
      <c r="E92" s="20" t="s">
        <v>41</v>
      </c>
    </row>
    <row r="93" spans="1:5" ht="13.8">
      <c r="A93" s="5" t="s">
        <v>5</v>
      </c>
      <c r="B93" s="1">
        <v>92</v>
      </c>
      <c r="C93" s="1" t="s">
        <v>6</v>
      </c>
      <c r="D93" s="1" t="s">
        <v>7</v>
      </c>
      <c r="E93" s="20" t="s">
        <v>16</v>
      </c>
    </row>
    <row r="94" spans="1:5" ht="13.8">
      <c r="A94" s="5" t="s">
        <v>5</v>
      </c>
      <c r="B94" s="1">
        <v>93</v>
      </c>
      <c r="C94" s="1" t="s">
        <v>33</v>
      </c>
      <c r="D94" s="1" t="s">
        <v>52</v>
      </c>
      <c r="E94" s="20" t="s">
        <v>88</v>
      </c>
    </row>
    <row r="95" spans="1:5" ht="13.8">
      <c r="A95" s="5" t="s">
        <v>5</v>
      </c>
      <c r="B95" s="1">
        <v>94</v>
      </c>
      <c r="C95" s="1" t="s">
        <v>6</v>
      </c>
      <c r="D95" s="1" t="s">
        <v>7</v>
      </c>
      <c r="E95" s="20" t="s">
        <v>17</v>
      </c>
    </row>
    <row r="96" spans="1:5" ht="13.8">
      <c r="A96" s="5" t="s">
        <v>14</v>
      </c>
      <c r="B96" s="1">
        <v>95</v>
      </c>
      <c r="C96" s="1" t="s">
        <v>6</v>
      </c>
      <c r="D96" s="1" t="s">
        <v>31</v>
      </c>
      <c r="E96" s="20" t="s">
        <v>42</v>
      </c>
    </row>
    <row r="97" spans="1:5" ht="13.8">
      <c r="A97" s="5" t="s">
        <v>14</v>
      </c>
      <c r="B97" s="1">
        <v>96</v>
      </c>
      <c r="C97" s="1" t="s">
        <v>6</v>
      </c>
      <c r="D97" s="1" t="s">
        <v>52</v>
      </c>
      <c r="E97" s="20" t="s">
        <v>10</v>
      </c>
    </row>
    <row r="98" spans="1:5" ht="13.8">
      <c r="A98" s="5" t="s">
        <v>14</v>
      </c>
      <c r="B98" s="1">
        <v>97</v>
      </c>
      <c r="C98" s="1" t="s">
        <v>6</v>
      </c>
      <c r="D98" s="1" t="s">
        <v>7</v>
      </c>
      <c r="E98" s="20" t="s">
        <v>18</v>
      </c>
    </row>
    <row r="99" spans="1:5" ht="13.8">
      <c r="A99" s="5" t="s">
        <v>5</v>
      </c>
      <c r="B99" s="1">
        <v>98</v>
      </c>
      <c r="C99" s="1" t="s">
        <v>6</v>
      </c>
      <c r="D99" s="1" t="s">
        <v>52</v>
      </c>
      <c r="E99" s="20" t="s">
        <v>95</v>
      </c>
    </row>
    <row r="100" spans="1:5" ht="13.8">
      <c r="A100" s="5" t="s">
        <v>5</v>
      </c>
      <c r="B100" s="1">
        <v>99</v>
      </c>
      <c r="C100" s="1" t="s">
        <v>6</v>
      </c>
      <c r="D100" s="1" t="s">
        <v>52</v>
      </c>
      <c r="E100" s="20" t="s">
        <v>60</v>
      </c>
    </row>
    <row r="101" spans="1:5" ht="13.8">
      <c r="A101" s="5" t="s">
        <v>5</v>
      </c>
      <c r="B101" s="1">
        <v>100</v>
      </c>
      <c r="C101" s="1" t="s">
        <v>6</v>
      </c>
      <c r="D101" s="1" t="s">
        <v>31</v>
      </c>
      <c r="E101" s="20" t="s">
        <v>21</v>
      </c>
    </row>
    <row r="102" spans="1:5" ht="13.8">
      <c r="A102" s="5" t="s">
        <v>5</v>
      </c>
      <c r="B102" s="1">
        <v>101</v>
      </c>
      <c r="C102" s="1" t="s">
        <v>33</v>
      </c>
      <c r="D102" s="1" t="s">
        <v>75</v>
      </c>
      <c r="E102" s="20"/>
    </row>
    <row r="103" spans="1:5" ht="13.8">
      <c r="A103" s="5" t="s">
        <v>5</v>
      </c>
      <c r="B103" s="1">
        <v>102</v>
      </c>
      <c r="C103" s="1" t="s">
        <v>33</v>
      </c>
      <c r="D103" s="1" t="s">
        <v>52</v>
      </c>
      <c r="E103" s="20" t="s">
        <v>36</v>
      </c>
    </row>
    <row r="104" spans="1:5" ht="13.8">
      <c r="A104" s="5" t="s">
        <v>5</v>
      </c>
      <c r="B104" s="1">
        <v>103</v>
      </c>
      <c r="C104" s="1" t="s">
        <v>6</v>
      </c>
      <c r="D104" s="1" t="s">
        <v>7</v>
      </c>
      <c r="E104" s="20" t="s">
        <v>19</v>
      </c>
    </row>
    <row r="105" spans="1:5" ht="13.8">
      <c r="A105" s="5" t="s">
        <v>14</v>
      </c>
      <c r="B105" s="1">
        <v>104</v>
      </c>
      <c r="C105" s="1" t="s">
        <v>33</v>
      </c>
      <c r="D105" s="1" t="s">
        <v>70</v>
      </c>
      <c r="E105" s="20" t="s">
        <v>73</v>
      </c>
    </row>
    <row r="106" spans="1:5" ht="13.8">
      <c r="A106" s="5" t="s">
        <v>14</v>
      </c>
      <c r="B106" s="1">
        <v>105</v>
      </c>
      <c r="C106" s="1" t="s">
        <v>6</v>
      </c>
      <c r="D106" s="1" t="s">
        <v>31</v>
      </c>
      <c r="E106" s="20" t="s">
        <v>43</v>
      </c>
    </row>
    <row r="107" spans="1:5" ht="13.8">
      <c r="A107" s="5" t="s">
        <v>14</v>
      </c>
      <c r="B107" s="1">
        <v>106</v>
      </c>
      <c r="C107" s="1" t="s">
        <v>6</v>
      </c>
      <c r="D107" s="1" t="s">
        <v>70</v>
      </c>
      <c r="E107" s="20" t="s">
        <v>40</v>
      </c>
    </row>
    <row r="108" spans="1:5" ht="13.8">
      <c r="A108" s="5" t="s">
        <v>14</v>
      </c>
      <c r="B108" s="1">
        <v>107</v>
      </c>
      <c r="C108" s="1" t="s">
        <v>33</v>
      </c>
      <c r="D108" s="1" t="s">
        <v>7</v>
      </c>
      <c r="E108" s="20" t="s">
        <v>44</v>
      </c>
    </row>
    <row r="109" spans="1:5" ht="13.8">
      <c r="A109" s="5" t="s">
        <v>5</v>
      </c>
      <c r="B109" s="1">
        <v>108</v>
      </c>
      <c r="C109" s="1" t="s">
        <v>6</v>
      </c>
      <c r="D109" s="1" t="s">
        <v>7</v>
      </c>
      <c r="E109" s="20" t="s">
        <v>20</v>
      </c>
    </row>
    <row r="110" spans="1:5" ht="13.8">
      <c r="A110" s="5" t="s">
        <v>5</v>
      </c>
      <c r="B110" s="1">
        <v>109</v>
      </c>
      <c r="C110" s="1" t="s">
        <v>6</v>
      </c>
      <c r="D110" s="1" t="s">
        <v>52</v>
      </c>
      <c r="E110" s="20" t="s">
        <v>10</v>
      </c>
    </row>
    <row r="111" spans="1:5" ht="13.8">
      <c r="A111" s="5" t="s">
        <v>5</v>
      </c>
      <c r="B111" s="1">
        <v>110</v>
      </c>
      <c r="C111" s="1" t="s">
        <v>33</v>
      </c>
      <c r="D111" s="1" t="s">
        <v>52</v>
      </c>
      <c r="E111" s="20" t="s">
        <v>61</v>
      </c>
    </row>
    <row r="112" spans="1:5" ht="13.8">
      <c r="A112" s="5" t="s">
        <v>14</v>
      </c>
      <c r="B112" s="1">
        <v>111</v>
      </c>
      <c r="C112" s="1" t="s">
        <v>33</v>
      </c>
      <c r="D112" s="1" t="s">
        <v>70</v>
      </c>
      <c r="E112" s="20" t="s">
        <v>68</v>
      </c>
    </row>
    <row r="113" spans="1:5" ht="13.8">
      <c r="A113" s="5" t="s">
        <v>5</v>
      </c>
      <c r="B113" s="1">
        <v>112</v>
      </c>
      <c r="C113" s="1" t="s">
        <v>33</v>
      </c>
      <c r="D113" s="1" t="s">
        <v>52</v>
      </c>
      <c r="E113" s="20" t="s">
        <v>39</v>
      </c>
    </row>
    <row r="114" spans="1:5" ht="13.8">
      <c r="A114" s="5" t="s">
        <v>5</v>
      </c>
      <c r="B114" s="1">
        <v>113</v>
      </c>
      <c r="C114" s="1" t="s">
        <v>6</v>
      </c>
      <c r="D114" s="1" t="s">
        <v>52</v>
      </c>
      <c r="E114" s="20" t="s">
        <v>101</v>
      </c>
    </row>
    <row r="115" spans="1:5" ht="13.8">
      <c r="A115" s="5" t="s">
        <v>14</v>
      </c>
      <c r="B115" s="1">
        <v>114</v>
      </c>
      <c r="C115" s="1" t="s">
        <v>50</v>
      </c>
      <c r="D115" s="1" t="s">
        <v>70</v>
      </c>
      <c r="E115" s="20" t="s">
        <v>62</v>
      </c>
    </row>
    <row r="116" spans="1:5" ht="13.8">
      <c r="A116" s="5" t="s">
        <v>5</v>
      </c>
      <c r="B116" s="1">
        <v>115</v>
      </c>
      <c r="C116" s="1" t="s">
        <v>6</v>
      </c>
      <c r="D116" s="1" t="s">
        <v>52</v>
      </c>
      <c r="E116" s="20" t="s">
        <v>15</v>
      </c>
    </row>
    <row r="117" spans="1:5" ht="13.8">
      <c r="A117" s="5" t="s">
        <v>5</v>
      </c>
      <c r="B117" s="1">
        <v>116</v>
      </c>
      <c r="C117" s="1" t="s">
        <v>6</v>
      </c>
      <c r="D117" s="1" t="s">
        <v>7</v>
      </c>
      <c r="E117" s="20" t="s">
        <v>21</v>
      </c>
    </row>
    <row r="118" spans="1:5" ht="13.8">
      <c r="A118" s="5" t="s">
        <v>5</v>
      </c>
      <c r="B118" s="1">
        <v>117</v>
      </c>
      <c r="C118" s="1" t="s">
        <v>33</v>
      </c>
      <c r="D118" s="1" t="s">
        <v>70</v>
      </c>
      <c r="E118" s="20" t="s">
        <v>102</v>
      </c>
    </row>
    <row r="119" spans="1:5" ht="13.8">
      <c r="A119" s="5" t="s">
        <v>5</v>
      </c>
      <c r="B119" s="1">
        <v>118</v>
      </c>
      <c r="C119" s="1" t="s">
        <v>6</v>
      </c>
      <c r="D119" s="1" t="s">
        <v>52</v>
      </c>
      <c r="E119" s="20" t="s">
        <v>96</v>
      </c>
    </row>
    <row r="120" spans="1:5" ht="13.8">
      <c r="A120" s="5" t="s">
        <v>5</v>
      </c>
      <c r="B120" s="1">
        <v>119</v>
      </c>
      <c r="C120" s="1" t="s">
        <v>6</v>
      </c>
      <c r="D120" s="1" t="s">
        <v>70</v>
      </c>
      <c r="E120" s="20" t="s">
        <v>46</v>
      </c>
    </row>
    <row r="121" spans="1:5" ht="13.8">
      <c r="A121" s="5" t="s">
        <v>5</v>
      </c>
      <c r="B121" s="1">
        <v>120</v>
      </c>
      <c r="C121" s="1" t="s">
        <v>6</v>
      </c>
      <c r="D121" s="1" t="s">
        <v>52</v>
      </c>
      <c r="E121" s="20" t="s">
        <v>101</v>
      </c>
    </row>
    <row r="122" spans="1:5" ht="13.8">
      <c r="A122" s="5" t="s">
        <v>14</v>
      </c>
      <c r="B122" s="1">
        <v>121</v>
      </c>
      <c r="C122" s="1" t="s">
        <v>33</v>
      </c>
      <c r="D122" s="1" t="s">
        <v>52</v>
      </c>
      <c r="E122" s="20" t="s">
        <v>48</v>
      </c>
    </row>
    <row r="123" spans="1:5" ht="13.8">
      <c r="A123" s="5" t="s">
        <v>14</v>
      </c>
      <c r="B123" s="1">
        <v>122</v>
      </c>
      <c r="C123" s="1" t="s">
        <v>33</v>
      </c>
      <c r="D123" s="1" t="s">
        <v>52</v>
      </c>
      <c r="E123" s="20" t="s">
        <v>11</v>
      </c>
    </row>
    <row r="124" spans="1:5" ht="13.8">
      <c r="A124" s="5" t="s">
        <v>5</v>
      </c>
      <c r="B124" s="1">
        <v>123</v>
      </c>
      <c r="C124" s="1" t="s">
        <v>33</v>
      </c>
      <c r="D124" s="1" t="s">
        <v>7</v>
      </c>
      <c r="E124" s="20" t="s">
        <v>45</v>
      </c>
    </row>
    <row r="125" spans="1:5" ht="13.8">
      <c r="A125" s="5" t="s">
        <v>14</v>
      </c>
      <c r="B125" s="1">
        <v>124</v>
      </c>
      <c r="C125" s="1" t="s">
        <v>33</v>
      </c>
      <c r="D125" s="1" t="s">
        <v>31</v>
      </c>
      <c r="E125" s="20" t="s">
        <v>41</v>
      </c>
    </row>
    <row r="126" spans="1:5" ht="13.8">
      <c r="A126" s="5" t="s">
        <v>5</v>
      </c>
      <c r="B126" s="1">
        <v>125</v>
      </c>
      <c r="C126" s="1" t="s">
        <v>6</v>
      </c>
      <c r="D126" s="1" t="s">
        <v>52</v>
      </c>
      <c r="E126" s="20" t="s">
        <v>41</v>
      </c>
    </row>
    <row r="127" spans="1:5" ht="13.8">
      <c r="A127" s="5" t="s">
        <v>14</v>
      </c>
      <c r="B127" s="1">
        <v>126</v>
      </c>
      <c r="C127" s="1" t="s">
        <v>6</v>
      </c>
      <c r="D127" s="1" t="s">
        <v>31</v>
      </c>
      <c r="E127" s="20" t="s">
        <v>18</v>
      </c>
    </row>
    <row r="128" spans="1:5" ht="13.8">
      <c r="A128" s="5" t="s">
        <v>5</v>
      </c>
      <c r="B128" s="1">
        <v>127</v>
      </c>
      <c r="C128" s="1" t="s">
        <v>33</v>
      </c>
      <c r="D128" s="1" t="s">
        <v>70</v>
      </c>
      <c r="E128" s="20"/>
    </row>
    <row r="129" spans="1:5" ht="13.8">
      <c r="A129" s="5" t="s">
        <v>5</v>
      </c>
      <c r="B129" s="1">
        <v>128</v>
      </c>
      <c r="C129" s="1" t="s">
        <v>6</v>
      </c>
      <c r="D129" s="1" t="s">
        <v>52</v>
      </c>
      <c r="E129" s="20" t="s">
        <v>21</v>
      </c>
    </row>
    <row r="130" spans="1:5" ht="13.8">
      <c r="A130" s="5" t="s">
        <v>5</v>
      </c>
      <c r="B130" s="1">
        <v>129</v>
      </c>
      <c r="C130" s="1" t="s">
        <v>6</v>
      </c>
      <c r="D130" s="1" t="s">
        <v>70</v>
      </c>
      <c r="E130" s="20"/>
    </row>
    <row r="131" spans="1:5" ht="13.8">
      <c r="A131" s="5" t="s">
        <v>14</v>
      </c>
      <c r="B131" s="1">
        <v>130</v>
      </c>
      <c r="C131" s="1" t="s">
        <v>6</v>
      </c>
      <c r="D131" s="1" t="s">
        <v>70</v>
      </c>
      <c r="E131" s="20" t="s">
        <v>110</v>
      </c>
    </row>
    <row r="132" spans="1:5" ht="13.8">
      <c r="A132" s="5" t="s">
        <v>14</v>
      </c>
      <c r="B132" s="1">
        <v>131</v>
      </c>
      <c r="C132" s="1" t="s">
        <v>6</v>
      </c>
      <c r="D132" s="1" t="s">
        <v>7</v>
      </c>
      <c r="E132" s="20" t="s">
        <v>22</v>
      </c>
    </row>
    <row r="133" spans="1:5" ht="13.8">
      <c r="A133" s="5" t="s">
        <v>5</v>
      </c>
      <c r="B133" s="1">
        <v>132</v>
      </c>
      <c r="C133" s="1" t="s">
        <v>33</v>
      </c>
      <c r="D133" s="1" t="s">
        <v>70</v>
      </c>
      <c r="E133" s="20" t="s">
        <v>48</v>
      </c>
    </row>
    <row r="134" spans="1:5" ht="13.8">
      <c r="A134" s="5" t="s">
        <v>5</v>
      </c>
      <c r="B134" s="1">
        <v>133</v>
      </c>
      <c r="C134" s="1" t="s">
        <v>6</v>
      </c>
      <c r="D134" s="1" t="s">
        <v>52</v>
      </c>
      <c r="E134" s="20" t="s">
        <v>10</v>
      </c>
    </row>
    <row r="135" spans="1:5" ht="13.8">
      <c r="A135" s="5" t="s">
        <v>5</v>
      </c>
      <c r="B135" s="1">
        <v>134</v>
      </c>
      <c r="C135" s="1" t="s">
        <v>33</v>
      </c>
      <c r="D135" s="1" t="s">
        <v>7</v>
      </c>
      <c r="E135" s="20" t="s">
        <v>17</v>
      </c>
    </row>
    <row r="136" spans="1:5" ht="13.8">
      <c r="A136" s="5" t="s">
        <v>5</v>
      </c>
      <c r="B136" s="1">
        <v>135</v>
      </c>
      <c r="C136" s="1" t="s">
        <v>6</v>
      </c>
      <c r="D136" s="1" t="s">
        <v>7</v>
      </c>
      <c r="E136" s="20" t="s">
        <v>23</v>
      </c>
    </row>
    <row r="137" spans="1:5" ht="13.8">
      <c r="A137" s="5" t="s">
        <v>14</v>
      </c>
      <c r="B137" s="1">
        <v>136</v>
      </c>
      <c r="C137" s="1" t="s">
        <v>50</v>
      </c>
      <c r="D137" s="1" t="s">
        <v>70</v>
      </c>
      <c r="E137" s="20" t="s">
        <v>66</v>
      </c>
    </row>
    <row r="138" spans="1:5" ht="13.8">
      <c r="A138" s="5" t="s">
        <v>14</v>
      </c>
      <c r="B138" s="1">
        <v>137</v>
      </c>
      <c r="C138" s="1" t="s">
        <v>33</v>
      </c>
      <c r="D138" s="1" t="s">
        <v>7</v>
      </c>
      <c r="E138" s="20" t="s">
        <v>46</v>
      </c>
    </row>
    <row r="139" spans="1:5" ht="13.8">
      <c r="A139" s="5" t="s">
        <v>14</v>
      </c>
      <c r="B139" s="1">
        <v>138</v>
      </c>
      <c r="C139" s="1" t="s">
        <v>33</v>
      </c>
      <c r="D139" s="1" t="s">
        <v>70</v>
      </c>
      <c r="E139" s="20"/>
    </row>
    <row r="140" spans="1:5" ht="13.8">
      <c r="A140" s="5" t="s">
        <v>5</v>
      </c>
      <c r="B140" s="1">
        <v>139</v>
      </c>
      <c r="C140" s="1" t="s">
        <v>6</v>
      </c>
      <c r="D140" s="1" t="s">
        <v>31</v>
      </c>
      <c r="E140" s="20" t="s">
        <v>47</v>
      </c>
    </row>
    <row r="141" spans="1:5" ht="13.8">
      <c r="A141" s="5" t="s">
        <v>5</v>
      </c>
      <c r="B141" s="1">
        <v>140</v>
      </c>
      <c r="C141" s="1" t="s">
        <v>6</v>
      </c>
      <c r="D141" s="1" t="s">
        <v>52</v>
      </c>
      <c r="E141" s="20" t="s">
        <v>64</v>
      </c>
    </row>
    <row r="142" spans="1:5" ht="13.8">
      <c r="A142" s="5" t="s">
        <v>14</v>
      </c>
      <c r="B142" s="1">
        <v>141</v>
      </c>
      <c r="C142" s="1" t="s">
        <v>6</v>
      </c>
      <c r="D142" s="1" t="s">
        <v>70</v>
      </c>
      <c r="E142" s="20" t="s">
        <v>91</v>
      </c>
    </row>
    <row r="143" spans="1:5" ht="13.8">
      <c r="A143" s="5" t="s">
        <v>14</v>
      </c>
      <c r="B143" s="1">
        <v>142</v>
      </c>
      <c r="C143" s="1" t="s">
        <v>33</v>
      </c>
      <c r="D143" s="1" t="s">
        <v>70</v>
      </c>
      <c r="E143" s="20" t="s">
        <v>65</v>
      </c>
    </row>
    <row r="144" spans="1:5" ht="13.8">
      <c r="A144" s="5" t="s">
        <v>14</v>
      </c>
      <c r="B144" s="1">
        <v>143</v>
      </c>
      <c r="C144" s="1" t="s">
        <v>33</v>
      </c>
      <c r="D144" s="1" t="s">
        <v>70</v>
      </c>
      <c r="E144" s="20" t="s">
        <v>89</v>
      </c>
    </row>
    <row r="145" spans="1:5" ht="13.8">
      <c r="A145" s="5" t="s">
        <v>5</v>
      </c>
      <c r="B145" s="1">
        <v>144</v>
      </c>
      <c r="C145" s="1" t="s">
        <v>6</v>
      </c>
      <c r="D145" s="1" t="s">
        <v>52</v>
      </c>
      <c r="E145" s="20" t="s">
        <v>64</v>
      </c>
    </row>
    <row r="146" spans="1:5" ht="13.8">
      <c r="A146" s="5" t="s">
        <v>5</v>
      </c>
      <c r="B146" s="1">
        <v>145</v>
      </c>
      <c r="C146" s="1" t="s">
        <v>6</v>
      </c>
      <c r="D146" s="1" t="s">
        <v>52</v>
      </c>
      <c r="E146" s="20" t="s">
        <v>79</v>
      </c>
    </row>
    <row r="147" spans="1:5" ht="13.8">
      <c r="A147" s="5" t="s">
        <v>5</v>
      </c>
      <c r="B147" s="1">
        <v>146</v>
      </c>
      <c r="C147" s="1" t="s">
        <v>6</v>
      </c>
      <c r="D147" s="1" t="s">
        <v>52</v>
      </c>
      <c r="E147" s="20" t="s">
        <v>77</v>
      </c>
    </row>
    <row r="148" spans="1:5" ht="13.8">
      <c r="A148" s="18" t="s">
        <v>5</v>
      </c>
      <c r="B148" s="1">
        <v>147</v>
      </c>
      <c r="C148" s="2" t="s">
        <v>6</v>
      </c>
      <c r="D148" s="2" t="s">
        <v>52</v>
      </c>
      <c r="E148" s="21" t="s">
        <v>68</v>
      </c>
    </row>
    <row r="149" spans="1:5" ht="13.8">
      <c r="A149" s="5" t="s">
        <v>5</v>
      </c>
      <c r="B149" s="1">
        <v>148</v>
      </c>
      <c r="C149" s="1" t="s">
        <v>33</v>
      </c>
      <c r="D149" s="1" t="s">
        <v>70</v>
      </c>
      <c r="E149" s="20" t="s">
        <v>76</v>
      </c>
    </row>
    <row r="150" spans="1:5" ht="13.8">
      <c r="A150" s="5" t="s">
        <v>5</v>
      </c>
      <c r="B150" s="1">
        <v>149</v>
      </c>
      <c r="C150" s="1" t="s">
        <v>6</v>
      </c>
      <c r="D150" s="1" t="s">
        <v>52</v>
      </c>
      <c r="E150" s="20" t="s">
        <v>46</v>
      </c>
    </row>
    <row r="151" spans="1:5" ht="13.8">
      <c r="A151" s="5" t="s">
        <v>5</v>
      </c>
      <c r="B151" s="1">
        <v>150</v>
      </c>
      <c r="C151" s="1" t="s">
        <v>6</v>
      </c>
      <c r="D151" s="1" t="s">
        <v>52</v>
      </c>
      <c r="E151" s="20" t="s">
        <v>111</v>
      </c>
    </row>
    <row r="152" spans="1:5" ht="13.8">
      <c r="A152" s="5" t="s">
        <v>5</v>
      </c>
      <c r="B152" s="1">
        <v>151</v>
      </c>
      <c r="C152" s="1" t="s">
        <v>33</v>
      </c>
      <c r="D152" s="1" t="s">
        <v>52</v>
      </c>
      <c r="E152" s="20" t="s">
        <v>62</v>
      </c>
    </row>
    <row r="153" spans="1:5" ht="13.8">
      <c r="A153" s="5" t="s">
        <v>14</v>
      </c>
      <c r="B153" s="1">
        <v>152</v>
      </c>
      <c r="C153" s="1" t="s">
        <v>33</v>
      </c>
      <c r="D153" s="1" t="s">
        <v>70</v>
      </c>
      <c r="E153" s="20" t="s">
        <v>90</v>
      </c>
    </row>
    <row r="154" spans="1:5" ht="13.8">
      <c r="A154" s="5" t="s">
        <v>5</v>
      </c>
      <c r="B154" s="1">
        <v>153</v>
      </c>
      <c r="C154" s="1" t="s">
        <v>6</v>
      </c>
      <c r="D154" s="1" t="s">
        <v>52</v>
      </c>
      <c r="E154" s="20" t="s">
        <v>19</v>
      </c>
    </row>
    <row r="155" spans="1:5" ht="13.8">
      <c r="A155" s="5" t="s">
        <v>5</v>
      </c>
      <c r="B155" s="1">
        <v>154</v>
      </c>
      <c r="C155" s="1" t="s">
        <v>6</v>
      </c>
      <c r="D155" s="1" t="s">
        <v>70</v>
      </c>
      <c r="E155" s="20" t="s">
        <v>41</v>
      </c>
    </row>
    <row r="156" spans="1:5" ht="13.8">
      <c r="A156" s="5" t="s">
        <v>5</v>
      </c>
      <c r="B156" s="1">
        <v>155</v>
      </c>
      <c r="C156" s="1" t="s">
        <v>6</v>
      </c>
      <c r="D156" s="1" t="s">
        <v>52</v>
      </c>
      <c r="E156" s="20" t="s">
        <v>43</v>
      </c>
    </row>
    <row r="157" spans="1:5" ht="13.8">
      <c r="A157" s="5" t="s">
        <v>5</v>
      </c>
      <c r="B157" s="1">
        <v>156</v>
      </c>
      <c r="C157" s="1" t="s">
        <v>33</v>
      </c>
      <c r="D157" s="3" t="s">
        <v>31</v>
      </c>
      <c r="E157" s="20" t="s">
        <v>62</v>
      </c>
    </row>
    <row r="158" spans="1:5" ht="13.8">
      <c r="A158" s="5" t="s">
        <v>14</v>
      </c>
      <c r="B158" s="1">
        <v>157</v>
      </c>
      <c r="C158" s="1" t="s">
        <v>6</v>
      </c>
      <c r="D158" s="1" t="s">
        <v>70</v>
      </c>
      <c r="E158" s="20" t="s">
        <v>97</v>
      </c>
    </row>
    <row r="159" spans="1:5" ht="13.8">
      <c r="A159" s="5" t="s">
        <v>14</v>
      </c>
      <c r="B159" s="1">
        <v>158</v>
      </c>
      <c r="C159" s="1" t="s">
        <v>33</v>
      </c>
      <c r="D159" s="1" t="s">
        <v>31</v>
      </c>
      <c r="E159" s="20" t="s">
        <v>63</v>
      </c>
    </row>
    <row r="160" spans="1:5" ht="13.8">
      <c r="A160" s="5" t="s">
        <v>14</v>
      </c>
      <c r="B160" s="1">
        <v>159</v>
      </c>
      <c r="C160" s="1" t="s">
        <v>6</v>
      </c>
      <c r="D160" s="1" t="s">
        <v>70</v>
      </c>
      <c r="E160" s="20" t="s">
        <v>112</v>
      </c>
    </row>
    <row r="161" spans="1:5" ht="13.8">
      <c r="A161" s="5" t="s">
        <v>14</v>
      </c>
      <c r="B161" s="1">
        <v>160</v>
      </c>
      <c r="C161" s="1" t="s">
        <v>33</v>
      </c>
      <c r="D161" s="1" t="s">
        <v>70</v>
      </c>
      <c r="E161" s="20" t="s">
        <v>43</v>
      </c>
    </row>
    <row r="162" spans="1:5" ht="13.8">
      <c r="A162" s="5" t="s">
        <v>5</v>
      </c>
      <c r="B162" s="1">
        <v>161</v>
      </c>
      <c r="C162" s="1" t="s">
        <v>6</v>
      </c>
      <c r="D162" s="1" t="s">
        <v>52</v>
      </c>
      <c r="E162" s="20" t="s">
        <v>10</v>
      </c>
    </row>
    <row r="163" spans="1:5" ht="13.8">
      <c r="A163" s="5" t="s">
        <v>14</v>
      </c>
      <c r="B163" s="1">
        <v>162</v>
      </c>
      <c r="C163" s="1" t="s">
        <v>6</v>
      </c>
      <c r="D163" s="1" t="s">
        <v>31</v>
      </c>
      <c r="E163" s="20" t="s">
        <v>29</v>
      </c>
    </row>
    <row r="164" spans="1:5" ht="13.8">
      <c r="A164" s="5" t="s">
        <v>14</v>
      </c>
      <c r="B164" s="1">
        <v>163</v>
      </c>
      <c r="C164" s="1" t="s">
        <v>33</v>
      </c>
      <c r="D164" s="1" t="s">
        <v>7</v>
      </c>
      <c r="E164" s="20" t="s">
        <v>48</v>
      </c>
    </row>
    <row r="165" spans="1:5" ht="13.8">
      <c r="A165" s="5" t="s">
        <v>5</v>
      </c>
      <c r="B165" s="1">
        <v>164</v>
      </c>
      <c r="C165" s="1" t="s">
        <v>33</v>
      </c>
      <c r="D165" s="1" t="s">
        <v>52</v>
      </c>
      <c r="E165" s="20" t="s">
        <v>15</v>
      </c>
    </row>
    <row r="166" spans="1:5" ht="13.8">
      <c r="A166" s="5" t="s">
        <v>5</v>
      </c>
      <c r="B166" s="1">
        <v>165</v>
      </c>
      <c r="C166" s="1" t="s">
        <v>6</v>
      </c>
      <c r="D166" s="1" t="s">
        <v>52</v>
      </c>
      <c r="E166" s="20" t="s">
        <v>98</v>
      </c>
    </row>
    <row r="167" spans="1:5" ht="13.8">
      <c r="A167" s="5" t="s">
        <v>5</v>
      </c>
      <c r="B167" s="1">
        <v>166</v>
      </c>
      <c r="C167" s="1" t="s">
        <v>6</v>
      </c>
      <c r="D167" s="1" t="s">
        <v>52</v>
      </c>
      <c r="E167" s="20" t="s">
        <v>64</v>
      </c>
    </row>
    <row r="168" spans="1:5" ht="13.8">
      <c r="A168" s="5" t="s">
        <v>5</v>
      </c>
      <c r="B168" s="1">
        <v>167</v>
      </c>
      <c r="C168" s="1" t="s">
        <v>6</v>
      </c>
      <c r="D168" s="1" t="s">
        <v>52</v>
      </c>
      <c r="E168" s="20" t="s">
        <v>63</v>
      </c>
    </row>
    <row r="169" spans="1:5" ht="13.8">
      <c r="A169" s="5" t="s">
        <v>5</v>
      </c>
      <c r="B169" s="1">
        <v>168</v>
      </c>
      <c r="C169" s="1" t="s">
        <v>6</v>
      </c>
      <c r="D169" s="1" t="s">
        <v>52</v>
      </c>
      <c r="E169" s="20"/>
    </row>
    <row r="170" spans="1:5" ht="13.8">
      <c r="A170" s="5" t="s">
        <v>14</v>
      </c>
      <c r="B170" s="1">
        <v>169</v>
      </c>
      <c r="C170" s="1" t="s">
        <v>6</v>
      </c>
      <c r="D170" s="1" t="s">
        <v>7</v>
      </c>
      <c r="E170" s="20" t="s">
        <v>24</v>
      </c>
    </row>
    <row r="171" spans="1:5" ht="13.8">
      <c r="A171" s="5" t="s">
        <v>5</v>
      </c>
      <c r="B171" s="1">
        <v>170</v>
      </c>
      <c r="C171" s="1" t="s">
        <v>6</v>
      </c>
      <c r="D171" s="1" t="s">
        <v>52</v>
      </c>
      <c r="E171" s="20" t="s">
        <v>73</v>
      </c>
    </row>
    <row r="172" spans="1:5" ht="13.8">
      <c r="A172" s="5" t="s">
        <v>14</v>
      </c>
      <c r="B172" s="1">
        <v>171</v>
      </c>
      <c r="C172" s="1" t="s">
        <v>6</v>
      </c>
      <c r="D172" s="1" t="s">
        <v>70</v>
      </c>
      <c r="E172" s="20" t="s">
        <v>59</v>
      </c>
    </row>
    <row r="173" spans="1:5" ht="13.8">
      <c r="A173" s="5" t="s">
        <v>5</v>
      </c>
      <c r="B173" s="1">
        <v>172</v>
      </c>
      <c r="C173" s="1" t="s">
        <v>6</v>
      </c>
      <c r="D173" s="1" t="s">
        <v>52</v>
      </c>
      <c r="E173" s="20" t="s">
        <v>21</v>
      </c>
    </row>
    <row r="174" spans="1:5" ht="13.8">
      <c r="A174" s="5" t="s">
        <v>5</v>
      </c>
      <c r="B174" s="1">
        <v>173</v>
      </c>
      <c r="C174" s="1" t="s">
        <v>6</v>
      </c>
      <c r="D174" s="1" t="s">
        <v>52</v>
      </c>
      <c r="E174" s="20" t="s">
        <v>10</v>
      </c>
    </row>
    <row r="175" spans="1:5" ht="13.8">
      <c r="A175" s="5" t="s">
        <v>14</v>
      </c>
      <c r="B175" s="1">
        <v>174</v>
      </c>
      <c r="C175" s="1" t="s">
        <v>6</v>
      </c>
      <c r="D175" s="1" t="s">
        <v>7</v>
      </c>
      <c r="E175" s="20" t="s">
        <v>49</v>
      </c>
    </row>
    <row r="176" spans="1:5" ht="13.8">
      <c r="A176" s="19" t="s">
        <v>14</v>
      </c>
      <c r="B176" s="1">
        <v>175</v>
      </c>
      <c r="C176" s="1" t="s">
        <v>33</v>
      </c>
      <c r="D176" s="1" t="s">
        <v>7</v>
      </c>
      <c r="E176" s="20" t="s">
        <v>19</v>
      </c>
    </row>
    <row r="177" spans="1:5" ht="13.8">
      <c r="A177" s="5" t="s">
        <v>5</v>
      </c>
      <c r="B177" s="1">
        <v>176</v>
      </c>
      <c r="C177" s="1" t="s">
        <v>33</v>
      </c>
      <c r="D177" s="1" t="s">
        <v>31</v>
      </c>
      <c r="E177" s="20" t="s">
        <v>21</v>
      </c>
    </row>
    <row r="178" spans="1:5" ht="13.8">
      <c r="A178" s="5" t="s">
        <v>14</v>
      </c>
      <c r="B178" s="1">
        <v>177</v>
      </c>
      <c r="C178" s="1" t="s">
        <v>6</v>
      </c>
      <c r="D178" s="1" t="s">
        <v>70</v>
      </c>
      <c r="E178" s="20" t="s">
        <v>39</v>
      </c>
    </row>
    <row r="179" spans="1:5" ht="13.8">
      <c r="A179" s="5" t="s">
        <v>5</v>
      </c>
      <c r="B179" s="1">
        <v>178</v>
      </c>
      <c r="C179" s="1" t="s">
        <v>50</v>
      </c>
      <c r="D179" s="1" t="s">
        <v>52</v>
      </c>
      <c r="E179" s="20" t="s">
        <v>45</v>
      </c>
    </row>
    <row r="180" spans="1:5" ht="13.8">
      <c r="A180" s="5" t="s">
        <v>5</v>
      </c>
      <c r="B180" s="1">
        <v>179</v>
      </c>
      <c r="C180" s="1" t="s">
        <v>50</v>
      </c>
      <c r="D180" s="1" t="s">
        <v>31</v>
      </c>
      <c r="E180" s="20" t="s">
        <v>62</v>
      </c>
    </row>
    <row r="181" spans="1:5" ht="13.8">
      <c r="A181" s="5" t="s">
        <v>5</v>
      </c>
      <c r="B181" s="1">
        <v>180</v>
      </c>
      <c r="C181" s="1" t="s">
        <v>50</v>
      </c>
      <c r="D181" s="1" t="s">
        <v>7</v>
      </c>
      <c r="E181" s="20" t="s">
        <v>51</v>
      </c>
    </row>
    <row r="182" spans="1:5" ht="13.8">
      <c r="A182" s="5" t="s">
        <v>5</v>
      </c>
      <c r="B182" s="1">
        <v>181</v>
      </c>
      <c r="C182" s="1" t="s">
        <v>33</v>
      </c>
      <c r="D182" s="1" t="s">
        <v>52</v>
      </c>
      <c r="E182" s="20"/>
    </row>
    <row r="183" spans="1:5" ht="13.8">
      <c r="A183" s="5" t="s">
        <v>14</v>
      </c>
      <c r="B183" s="1">
        <v>182</v>
      </c>
      <c r="C183" s="1" t="s">
        <v>6</v>
      </c>
      <c r="D183" s="1" t="s">
        <v>70</v>
      </c>
      <c r="E183" s="20" t="s">
        <v>68</v>
      </c>
    </row>
    <row r="184" spans="1:5" ht="13.8">
      <c r="A184" s="5" t="s">
        <v>5</v>
      </c>
      <c r="B184" s="1">
        <v>183</v>
      </c>
      <c r="C184" s="1" t="s">
        <v>33</v>
      </c>
      <c r="D184" s="1" t="s">
        <v>52</v>
      </c>
      <c r="E184" s="20" t="s">
        <v>91</v>
      </c>
    </row>
    <row r="185" spans="1:5" ht="13.8">
      <c r="A185" s="19" t="s">
        <v>5</v>
      </c>
      <c r="B185" s="1">
        <v>184</v>
      </c>
      <c r="C185" s="3" t="s">
        <v>6</v>
      </c>
      <c r="D185" s="3" t="s">
        <v>31</v>
      </c>
      <c r="E185" s="22" t="s">
        <v>10</v>
      </c>
    </row>
    <row r="186" spans="1:5" ht="13.8">
      <c r="A186" s="5" t="s">
        <v>14</v>
      </c>
      <c r="B186" s="1">
        <v>185</v>
      </c>
      <c r="C186" s="1" t="s">
        <v>6</v>
      </c>
      <c r="D186" s="1" t="s">
        <v>70</v>
      </c>
      <c r="E186" s="20" t="s">
        <v>19</v>
      </c>
    </row>
    <row r="187" spans="1:5" ht="13.8">
      <c r="A187" s="5" t="s">
        <v>14</v>
      </c>
      <c r="B187" s="1">
        <v>186</v>
      </c>
      <c r="C187" s="1" t="s">
        <v>6</v>
      </c>
      <c r="D187" s="1" t="s">
        <v>70</v>
      </c>
      <c r="E187" s="20" t="s">
        <v>66</v>
      </c>
    </row>
    <row r="188" spans="1:5" ht="13.8">
      <c r="A188" s="5" t="s">
        <v>5</v>
      </c>
      <c r="B188" s="1">
        <v>187</v>
      </c>
      <c r="C188" s="1" t="s">
        <v>33</v>
      </c>
      <c r="D188" s="1" t="s">
        <v>7</v>
      </c>
      <c r="E188" s="20" t="s">
        <v>30</v>
      </c>
    </row>
    <row r="189" spans="1:5" ht="13.8">
      <c r="A189" s="5" t="s">
        <v>5</v>
      </c>
      <c r="B189" s="1">
        <v>188</v>
      </c>
      <c r="C189" s="1" t="s">
        <v>6</v>
      </c>
      <c r="D189" s="1" t="s">
        <v>52</v>
      </c>
      <c r="E189" s="20" t="s">
        <v>30</v>
      </c>
    </row>
    <row r="190" spans="1:5" ht="13.8">
      <c r="A190" s="5" t="s">
        <v>14</v>
      </c>
      <c r="B190" s="1">
        <v>189</v>
      </c>
      <c r="C190" s="1" t="s">
        <v>33</v>
      </c>
      <c r="D190" s="1" t="s">
        <v>70</v>
      </c>
      <c r="E190" s="20" t="s">
        <v>103</v>
      </c>
    </row>
    <row r="191" spans="1:5" ht="13.8">
      <c r="A191" s="5" t="s">
        <v>14</v>
      </c>
      <c r="B191" s="1">
        <v>190</v>
      </c>
      <c r="C191" s="1" t="s">
        <v>6</v>
      </c>
      <c r="D191" s="1" t="s">
        <v>7</v>
      </c>
      <c r="E191" s="20" t="s">
        <v>25</v>
      </c>
    </row>
    <row r="192" spans="1:5" ht="13.8">
      <c r="A192" s="5" t="s">
        <v>5</v>
      </c>
      <c r="B192" s="1">
        <v>191</v>
      </c>
      <c r="C192" s="1" t="s">
        <v>6</v>
      </c>
      <c r="D192" s="1" t="s">
        <v>70</v>
      </c>
      <c r="E192" s="20" t="s">
        <v>64</v>
      </c>
    </row>
    <row r="193" spans="1:5" ht="13.8">
      <c r="A193" s="5" t="s">
        <v>14</v>
      </c>
      <c r="B193" s="1">
        <v>192</v>
      </c>
      <c r="C193" s="1" t="s">
        <v>6</v>
      </c>
      <c r="D193" s="1" t="s">
        <v>31</v>
      </c>
      <c r="E193" s="20" t="s">
        <v>58</v>
      </c>
    </row>
    <row r="194" spans="1:5" ht="13.8">
      <c r="A194" s="5" t="s">
        <v>5</v>
      </c>
      <c r="B194" s="1">
        <v>193</v>
      </c>
      <c r="C194" s="1" t="s">
        <v>6</v>
      </c>
      <c r="D194" s="1" t="s">
        <v>52</v>
      </c>
      <c r="E194" s="20" t="s">
        <v>68</v>
      </c>
    </row>
    <row r="195" spans="1:5" ht="13.8">
      <c r="A195" s="5" t="s">
        <v>5</v>
      </c>
      <c r="B195" s="1">
        <v>194</v>
      </c>
      <c r="C195" s="1" t="s">
        <v>6</v>
      </c>
      <c r="D195" s="1" t="s">
        <v>70</v>
      </c>
      <c r="E195" s="20" t="s">
        <v>18</v>
      </c>
    </row>
    <row r="196" spans="1:5" ht="13.8">
      <c r="A196" s="5" t="s">
        <v>5</v>
      </c>
      <c r="B196" s="1">
        <v>195</v>
      </c>
      <c r="C196" s="1" t="s">
        <v>33</v>
      </c>
      <c r="D196" s="1" t="s">
        <v>52</v>
      </c>
      <c r="E196" s="20" t="s">
        <v>60</v>
      </c>
    </row>
    <row r="197" spans="1:5" ht="13.8">
      <c r="A197" s="5" t="s">
        <v>5</v>
      </c>
      <c r="B197" s="1">
        <v>196</v>
      </c>
      <c r="C197" s="1" t="s">
        <v>33</v>
      </c>
      <c r="D197" s="1" t="s">
        <v>52</v>
      </c>
      <c r="E197" s="20" t="s">
        <v>92</v>
      </c>
    </row>
    <row r="198" spans="1:5" ht="13.8">
      <c r="A198" s="5" t="s">
        <v>14</v>
      </c>
      <c r="B198" s="1">
        <v>197</v>
      </c>
      <c r="C198" s="1" t="s">
        <v>6</v>
      </c>
      <c r="D198" s="1" t="s">
        <v>31</v>
      </c>
      <c r="E198" s="20" t="s">
        <v>65</v>
      </c>
    </row>
    <row r="199" spans="1:5" ht="13.8">
      <c r="A199" s="5" t="s">
        <v>5</v>
      </c>
      <c r="B199" s="1">
        <v>198</v>
      </c>
      <c r="C199" s="1" t="s">
        <v>6</v>
      </c>
      <c r="D199" s="1" t="s">
        <v>70</v>
      </c>
      <c r="E199" s="20" t="s">
        <v>45</v>
      </c>
    </row>
    <row r="200" spans="1:5" ht="13.8">
      <c r="A200" s="5" t="s">
        <v>5</v>
      </c>
      <c r="B200" s="1">
        <v>199</v>
      </c>
      <c r="C200" s="1" t="s">
        <v>33</v>
      </c>
      <c r="D200" s="1" t="s">
        <v>31</v>
      </c>
      <c r="E200" s="20" t="s">
        <v>66</v>
      </c>
    </row>
    <row r="201" spans="1:5" ht="13.8">
      <c r="A201" s="5" t="s">
        <v>5</v>
      </c>
      <c r="B201" s="1">
        <v>200</v>
      </c>
      <c r="C201" s="1" t="s">
        <v>33</v>
      </c>
      <c r="D201" s="1" t="s">
        <v>7</v>
      </c>
      <c r="E201" s="20" t="s">
        <v>28</v>
      </c>
    </row>
    <row r="202" spans="1:5" ht="13.8">
      <c r="A202" s="5" t="s">
        <v>5</v>
      </c>
      <c r="B202" s="1">
        <v>201</v>
      </c>
      <c r="C202" s="1" t="s">
        <v>50</v>
      </c>
      <c r="D202" s="1" t="s">
        <v>31</v>
      </c>
      <c r="E202" s="20" t="s">
        <v>66</v>
      </c>
    </row>
    <row r="203" spans="1:5" ht="13.8">
      <c r="A203" s="5" t="s">
        <v>5</v>
      </c>
      <c r="B203" s="1">
        <v>202</v>
      </c>
      <c r="C203" s="1" t="s">
        <v>6</v>
      </c>
      <c r="D203" s="1" t="s">
        <v>7</v>
      </c>
      <c r="E203" s="20" t="s">
        <v>26</v>
      </c>
    </row>
    <row r="204" spans="1:5" ht="13.8">
      <c r="A204" s="5" t="s">
        <v>5</v>
      </c>
      <c r="B204" s="1">
        <v>203</v>
      </c>
      <c r="C204" s="1" t="s">
        <v>33</v>
      </c>
      <c r="D204" s="1" t="s">
        <v>52</v>
      </c>
      <c r="E204" s="20" t="s">
        <v>68</v>
      </c>
    </row>
    <row r="205" spans="1:5" ht="13.8">
      <c r="A205" s="5" t="s">
        <v>5</v>
      </c>
      <c r="B205" s="1">
        <v>204</v>
      </c>
      <c r="C205" s="1" t="s">
        <v>6</v>
      </c>
      <c r="D205" s="1" t="s">
        <v>70</v>
      </c>
      <c r="E205" s="20"/>
    </row>
    <row r="206" spans="1:5" ht="13.8">
      <c r="A206" s="18" t="s">
        <v>5</v>
      </c>
      <c r="B206" s="1">
        <v>205</v>
      </c>
      <c r="C206" s="2" t="s">
        <v>6</v>
      </c>
      <c r="D206" s="2" t="s">
        <v>7</v>
      </c>
      <c r="E206" s="21" t="s">
        <v>27</v>
      </c>
    </row>
    <row r="207" spans="1:5" ht="13.8">
      <c r="A207" s="5" t="s">
        <v>14</v>
      </c>
      <c r="B207" s="1">
        <v>206</v>
      </c>
      <c r="C207" s="1" t="s">
        <v>6</v>
      </c>
      <c r="D207" s="1" t="s">
        <v>7</v>
      </c>
      <c r="E207" s="20" t="s">
        <v>15</v>
      </c>
    </row>
    <row r="208" spans="1:5" ht="13.8">
      <c r="A208" s="5" t="s">
        <v>5</v>
      </c>
      <c r="B208" s="1">
        <v>207</v>
      </c>
      <c r="C208" s="1" t="s">
        <v>33</v>
      </c>
      <c r="D208" s="1" t="s">
        <v>52</v>
      </c>
      <c r="E208" s="20" t="s">
        <v>86</v>
      </c>
    </row>
    <row r="209" spans="1:5" ht="13.8">
      <c r="A209" s="5" t="s">
        <v>5</v>
      </c>
      <c r="B209" s="1">
        <v>208</v>
      </c>
      <c r="C209" s="1" t="s">
        <v>6</v>
      </c>
      <c r="D209" s="1" t="s">
        <v>52</v>
      </c>
      <c r="E209" s="20" t="s">
        <v>41</v>
      </c>
    </row>
    <row r="210" spans="1:5" ht="13.8">
      <c r="A210" s="5" t="s">
        <v>14</v>
      </c>
      <c r="B210" s="1">
        <v>209</v>
      </c>
      <c r="C210" s="1" t="s">
        <v>33</v>
      </c>
      <c r="D210" s="1" t="s">
        <v>70</v>
      </c>
      <c r="E210" s="20" t="s">
        <v>17</v>
      </c>
    </row>
    <row r="211" spans="1:5" ht="13.8">
      <c r="A211" s="5" t="s">
        <v>14</v>
      </c>
      <c r="B211" s="1">
        <v>210</v>
      </c>
      <c r="C211" s="1" t="s">
        <v>6</v>
      </c>
      <c r="D211" s="1" t="s">
        <v>7</v>
      </c>
      <c r="E211" s="20" t="s">
        <v>28</v>
      </c>
    </row>
    <row r="212" spans="1:5" ht="13.8">
      <c r="A212" s="5" t="s">
        <v>14</v>
      </c>
      <c r="B212" s="1">
        <v>211</v>
      </c>
      <c r="C212" s="1" t="s">
        <v>6</v>
      </c>
      <c r="D212" s="1" t="s">
        <v>70</v>
      </c>
      <c r="E212" s="20" t="s">
        <v>74</v>
      </c>
    </row>
    <row r="213" spans="1:5" ht="13.8">
      <c r="A213" s="5" t="s">
        <v>5</v>
      </c>
      <c r="B213" s="1">
        <v>212</v>
      </c>
      <c r="C213" s="1" t="s">
        <v>6</v>
      </c>
      <c r="D213" s="1" t="s">
        <v>52</v>
      </c>
      <c r="E213" s="20" t="s">
        <v>10</v>
      </c>
    </row>
    <row r="214" spans="1:5" ht="13.8">
      <c r="A214" s="5" t="s">
        <v>5</v>
      </c>
      <c r="B214" s="1">
        <v>213</v>
      </c>
      <c r="C214" s="1" t="s">
        <v>6</v>
      </c>
      <c r="D214" s="1" t="s">
        <v>7</v>
      </c>
      <c r="E214" s="20" t="s">
        <v>10</v>
      </c>
    </row>
    <row r="215" spans="1:5" ht="13.8">
      <c r="A215" s="5" t="s">
        <v>5</v>
      </c>
      <c r="B215" s="1">
        <v>214</v>
      </c>
      <c r="C215" s="1" t="s">
        <v>6</v>
      </c>
      <c r="D215" s="1" t="s">
        <v>52</v>
      </c>
      <c r="E215" s="20" t="s">
        <v>81</v>
      </c>
    </row>
    <row r="216" spans="1:5" ht="13.8">
      <c r="A216" s="18" t="s">
        <v>14</v>
      </c>
      <c r="B216" s="1">
        <v>215</v>
      </c>
      <c r="C216" s="2" t="s">
        <v>50</v>
      </c>
      <c r="D216" s="2" t="s">
        <v>31</v>
      </c>
      <c r="E216" s="21"/>
    </row>
    <row r="217" spans="1:5" ht="13.8">
      <c r="A217" s="5" t="s">
        <v>14</v>
      </c>
      <c r="B217" s="1">
        <v>216</v>
      </c>
      <c r="C217" s="1" t="s">
        <v>33</v>
      </c>
      <c r="D217" s="1" t="s">
        <v>31</v>
      </c>
      <c r="E217" s="20"/>
    </row>
    <row r="218" spans="1:5" ht="13.8">
      <c r="A218" s="5" t="s">
        <v>5</v>
      </c>
      <c r="B218" s="1">
        <v>217</v>
      </c>
      <c r="C218" s="1" t="s">
        <v>6</v>
      </c>
      <c r="D218" s="1" t="s">
        <v>52</v>
      </c>
      <c r="E218" s="20" t="s">
        <v>82</v>
      </c>
    </row>
    <row r="219" spans="1:5" ht="13.8">
      <c r="A219" s="5" t="s">
        <v>5</v>
      </c>
      <c r="B219" s="1">
        <v>218</v>
      </c>
      <c r="C219" s="1" t="s">
        <v>33</v>
      </c>
      <c r="D219" s="1" t="s">
        <v>52</v>
      </c>
      <c r="E219" s="20" t="s">
        <v>10</v>
      </c>
    </row>
    <row r="220" spans="1:5" ht="13.8">
      <c r="A220" s="5" t="s">
        <v>5</v>
      </c>
      <c r="B220" s="1">
        <v>219</v>
      </c>
      <c r="C220" s="1" t="s">
        <v>6</v>
      </c>
      <c r="D220" s="1" t="s">
        <v>52</v>
      </c>
      <c r="E220" s="20" t="s">
        <v>83</v>
      </c>
    </row>
    <row r="221" spans="1:5" ht="13.8">
      <c r="A221" s="5" t="s">
        <v>14</v>
      </c>
      <c r="B221" s="1">
        <v>220</v>
      </c>
      <c r="C221" s="1" t="s">
        <v>6</v>
      </c>
      <c r="D221" s="1" t="s">
        <v>31</v>
      </c>
      <c r="E221" s="20" t="s">
        <v>17</v>
      </c>
    </row>
    <row r="222" spans="1:5" ht="13.8">
      <c r="A222" s="5" t="s">
        <v>14</v>
      </c>
      <c r="B222" s="1">
        <v>221</v>
      </c>
      <c r="C222" s="1" t="s">
        <v>6</v>
      </c>
      <c r="D222" s="1" t="s">
        <v>7</v>
      </c>
      <c r="E222" s="20" t="s">
        <v>15</v>
      </c>
    </row>
    <row r="223" spans="1:5" ht="13.8">
      <c r="A223" s="5" t="s">
        <v>14</v>
      </c>
      <c r="B223" s="1">
        <v>222</v>
      </c>
      <c r="C223" s="1" t="s">
        <v>6</v>
      </c>
      <c r="D223" s="1" t="s">
        <v>70</v>
      </c>
      <c r="E223" s="20" t="s">
        <v>24</v>
      </c>
    </row>
    <row r="224" spans="1:5" ht="13.8">
      <c r="A224" s="18" t="s">
        <v>14</v>
      </c>
      <c r="B224" s="1">
        <v>223</v>
      </c>
      <c r="C224" s="2" t="s">
        <v>6</v>
      </c>
      <c r="D224" s="2" t="s">
        <v>52</v>
      </c>
      <c r="E224" s="21" t="s">
        <v>77</v>
      </c>
    </row>
    <row r="225" spans="1:5" ht="13.8">
      <c r="A225" s="5" t="s">
        <v>5</v>
      </c>
      <c r="B225" s="1">
        <v>224</v>
      </c>
      <c r="C225" s="1" t="s">
        <v>6</v>
      </c>
      <c r="D225" s="1" t="s">
        <v>52</v>
      </c>
      <c r="E225" s="20" t="s">
        <v>10</v>
      </c>
    </row>
    <row r="226" spans="1:5" ht="13.8">
      <c r="A226" s="5" t="s">
        <v>5</v>
      </c>
      <c r="B226" s="1">
        <v>225</v>
      </c>
      <c r="C226" s="1" t="s">
        <v>6</v>
      </c>
      <c r="D226" s="3" t="s">
        <v>70</v>
      </c>
      <c r="E226" s="20" t="s">
        <v>13</v>
      </c>
    </row>
    <row r="227" spans="1:5" ht="13.8">
      <c r="A227" s="5" t="s">
        <v>5</v>
      </c>
      <c r="B227" s="1">
        <v>226</v>
      </c>
      <c r="C227" s="1" t="s">
        <v>33</v>
      </c>
      <c r="D227" s="1" t="s">
        <v>52</v>
      </c>
      <c r="E227" s="20" t="s">
        <v>23</v>
      </c>
    </row>
    <row r="228" spans="1:5" ht="13.8">
      <c r="A228" s="5" t="s">
        <v>5</v>
      </c>
      <c r="B228" s="1">
        <v>227</v>
      </c>
      <c r="C228" s="1" t="s">
        <v>33</v>
      </c>
      <c r="D228" s="1" t="s">
        <v>52</v>
      </c>
      <c r="E228" s="20" t="s">
        <v>60</v>
      </c>
    </row>
    <row r="229" spans="1:5" ht="13.8">
      <c r="A229" s="5" t="s">
        <v>14</v>
      </c>
      <c r="B229" s="1">
        <v>228</v>
      </c>
      <c r="C229" s="1" t="s">
        <v>6</v>
      </c>
      <c r="D229" s="1" t="s">
        <v>31</v>
      </c>
      <c r="E229" s="20"/>
    </row>
    <row r="230" spans="1:5" ht="13.8">
      <c r="A230" s="5" t="s">
        <v>14</v>
      </c>
      <c r="B230" s="1">
        <v>229</v>
      </c>
      <c r="C230" s="1" t="s">
        <v>33</v>
      </c>
      <c r="D230" s="1" t="s">
        <v>70</v>
      </c>
      <c r="E230" s="20" t="s">
        <v>73</v>
      </c>
    </row>
    <row r="231" spans="1:5" ht="13.8">
      <c r="A231" s="5" t="s">
        <v>5</v>
      </c>
      <c r="B231" s="1">
        <v>230</v>
      </c>
      <c r="C231" s="1" t="s">
        <v>6</v>
      </c>
      <c r="D231" s="1" t="s">
        <v>7</v>
      </c>
      <c r="E231" s="20" t="s">
        <v>29</v>
      </c>
    </row>
    <row r="232" spans="1:5" ht="13.8">
      <c r="A232" s="5" t="s">
        <v>14</v>
      </c>
      <c r="B232" s="1">
        <v>231</v>
      </c>
      <c r="C232" s="1" t="s">
        <v>6</v>
      </c>
      <c r="D232" s="3" t="s">
        <v>70</v>
      </c>
      <c r="E232" s="20" t="s">
        <v>74</v>
      </c>
    </row>
    <row r="233" spans="1:5" ht="13.8">
      <c r="A233" s="5" t="s">
        <v>5</v>
      </c>
      <c r="B233" s="1">
        <v>232</v>
      </c>
      <c r="C233" s="1" t="s">
        <v>6</v>
      </c>
      <c r="D233" s="1" t="s">
        <v>52</v>
      </c>
      <c r="E233" s="20" t="s">
        <v>88</v>
      </c>
    </row>
    <row r="234" spans="1:5" ht="13.8">
      <c r="A234" s="5" t="s">
        <v>5</v>
      </c>
      <c r="B234" s="1">
        <v>233</v>
      </c>
      <c r="C234" s="1" t="s">
        <v>33</v>
      </c>
      <c r="D234" s="1" t="s">
        <v>52</v>
      </c>
      <c r="E234" s="20" t="s">
        <v>66</v>
      </c>
    </row>
    <row r="235" spans="1:5" ht="13.8">
      <c r="A235" s="5" t="s">
        <v>14</v>
      </c>
      <c r="B235" s="1">
        <v>234</v>
      </c>
      <c r="C235" s="1" t="s">
        <v>33</v>
      </c>
      <c r="D235" s="1" t="s">
        <v>70</v>
      </c>
      <c r="E235" s="20" t="s">
        <v>71</v>
      </c>
    </row>
    <row r="236" spans="1:5" ht="13.8">
      <c r="A236" s="5" t="s">
        <v>14</v>
      </c>
      <c r="B236" s="1">
        <v>235</v>
      </c>
      <c r="C236" s="1" t="s">
        <v>6</v>
      </c>
      <c r="D236" s="1" t="s">
        <v>7</v>
      </c>
      <c r="E236" s="20"/>
    </row>
    <row r="237" spans="1:5" ht="13.8">
      <c r="A237" s="5" t="s">
        <v>14</v>
      </c>
      <c r="B237" s="1">
        <v>236</v>
      </c>
      <c r="C237" s="1" t="s">
        <v>6</v>
      </c>
      <c r="D237" s="1" t="s">
        <v>7</v>
      </c>
      <c r="E237" s="20" t="s">
        <v>24</v>
      </c>
    </row>
    <row r="238" spans="1:5" ht="13.8">
      <c r="A238" s="5" t="s">
        <v>5</v>
      </c>
      <c r="B238" s="1">
        <v>237</v>
      </c>
      <c r="C238" s="1" t="s">
        <v>6</v>
      </c>
      <c r="D238" s="1" t="s">
        <v>52</v>
      </c>
      <c r="E238" s="20" t="s">
        <v>10</v>
      </c>
    </row>
    <row r="239" spans="1:5" ht="13.8">
      <c r="A239" s="5" t="s">
        <v>14</v>
      </c>
      <c r="B239" s="1">
        <v>238</v>
      </c>
      <c r="C239" s="1" t="s">
        <v>6</v>
      </c>
      <c r="D239" s="1" t="s">
        <v>70</v>
      </c>
      <c r="E239" s="20" t="s">
        <v>113</v>
      </c>
    </row>
    <row r="240" spans="1:5" ht="13.8">
      <c r="A240" s="18" t="s">
        <v>14</v>
      </c>
      <c r="B240" s="1">
        <v>239</v>
      </c>
      <c r="C240" s="2" t="s">
        <v>6</v>
      </c>
      <c r="D240" s="2" t="s">
        <v>70</v>
      </c>
      <c r="E240" s="21" t="s">
        <v>104</v>
      </c>
    </row>
    <row r="241" spans="1:5" ht="13.8">
      <c r="A241" s="24" t="s">
        <v>5</v>
      </c>
      <c r="B241" s="1">
        <v>240</v>
      </c>
      <c r="C241" s="25" t="s">
        <v>6</v>
      </c>
      <c r="D241" s="25" t="s">
        <v>7</v>
      </c>
      <c r="E241" s="26" t="s">
        <v>30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27"/>
  <sheetViews>
    <sheetView workbookViewId="0">
      <selection sqref="A1:B1"/>
    </sheetView>
  </sheetViews>
  <sheetFormatPr defaultColWidth="12.6640625" defaultRowHeight="15.75" customHeight="1"/>
  <cols>
    <col min="1" max="1" width="7.21875" customWidth="1"/>
    <col min="2" max="2" width="5.109375" customWidth="1"/>
    <col min="3" max="3" width="3" customWidth="1"/>
    <col min="4" max="4" width="4" customWidth="1"/>
    <col min="6" max="6" width="3.44140625" customWidth="1"/>
    <col min="7" max="7" width="4" customWidth="1"/>
    <col min="8" max="8" width="3.44140625" customWidth="1"/>
    <col min="9" max="9" width="4" customWidth="1"/>
    <col min="10" max="10" width="4.33203125" customWidth="1"/>
    <col min="11" max="11" width="3.44140625" customWidth="1"/>
    <col min="12" max="12" width="6.88671875" customWidth="1"/>
    <col min="15" max="15" width="15.109375" customWidth="1"/>
    <col min="16" max="16" width="6.33203125" customWidth="1"/>
    <col min="18" max="18" width="6.6640625" customWidth="1"/>
  </cols>
  <sheetData>
    <row r="1" spans="1:18">
      <c r="A1" s="16" t="s">
        <v>114</v>
      </c>
      <c r="B1" s="17"/>
      <c r="C1" s="4"/>
      <c r="D1" s="4"/>
      <c r="E1" s="4"/>
      <c r="F1" s="4"/>
      <c r="G1" s="4"/>
      <c r="H1" s="4"/>
      <c r="I1" s="4"/>
      <c r="J1" s="4"/>
      <c r="K1" s="4"/>
      <c r="O1" s="2" t="s">
        <v>115</v>
      </c>
      <c r="P1" s="2">
        <v>14</v>
      </c>
    </row>
    <row r="2" spans="1:18">
      <c r="A2" s="1"/>
      <c r="B2" s="5" t="s">
        <v>116</v>
      </c>
      <c r="C2" s="5" t="s">
        <v>14</v>
      </c>
      <c r="D2" s="5" t="s">
        <v>5</v>
      </c>
      <c r="E2" s="4"/>
      <c r="F2" s="1"/>
      <c r="G2" s="5" t="s">
        <v>117</v>
      </c>
      <c r="H2" s="5" t="s">
        <v>118</v>
      </c>
      <c r="I2" s="5" t="s">
        <v>119</v>
      </c>
      <c r="J2" s="5" t="s">
        <v>120</v>
      </c>
      <c r="K2" s="5" t="s">
        <v>121</v>
      </c>
      <c r="O2" s="2" t="s">
        <v>122</v>
      </c>
      <c r="P2" s="2">
        <v>15</v>
      </c>
      <c r="Q2" s="2"/>
      <c r="R2" s="2"/>
    </row>
    <row r="3" spans="1:18">
      <c r="A3" s="6" t="s">
        <v>8</v>
      </c>
      <c r="B3" s="7">
        <v>27</v>
      </c>
      <c r="C3" s="7">
        <v>11</v>
      </c>
      <c r="D3" s="7">
        <v>16</v>
      </c>
      <c r="E3" s="4"/>
      <c r="F3" s="6" t="s">
        <v>8</v>
      </c>
      <c r="G3" s="8"/>
      <c r="H3" s="7">
        <v>27</v>
      </c>
      <c r="I3" s="8"/>
      <c r="J3" s="8"/>
      <c r="K3" s="8"/>
      <c r="L3" s="9">
        <f t="shared" ref="L3:L12" si="0">SUM(G3:K3)</f>
        <v>27</v>
      </c>
    </row>
    <row r="4" spans="1:18">
      <c r="A4" s="6" t="s">
        <v>32</v>
      </c>
      <c r="B4" s="7">
        <v>29</v>
      </c>
      <c r="C4" s="7">
        <v>15</v>
      </c>
      <c r="D4" s="7">
        <v>14</v>
      </c>
      <c r="E4" s="10"/>
      <c r="F4" s="6" t="s">
        <v>32</v>
      </c>
      <c r="G4" s="8"/>
      <c r="H4" s="11">
        <v>14</v>
      </c>
      <c r="I4" s="8"/>
      <c r="J4" s="8"/>
      <c r="K4" s="7">
        <v>15</v>
      </c>
      <c r="L4" s="9">
        <f t="shared" si="0"/>
        <v>29</v>
      </c>
      <c r="O4" s="2" t="s">
        <v>123</v>
      </c>
      <c r="P4" s="2">
        <v>30</v>
      </c>
      <c r="Q4" s="2" t="s">
        <v>124</v>
      </c>
      <c r="R4" s="2">
        <v>23</v>
      </c>
    </row>
    <row r="5" spans="1:18">
      <c r="A5" s="6" t="s">
        <v>53</v>
      </c>
      <c r="B5" s="7">
        <v>29</v>
      </c>
      <c r="C5" s="7">
        <v>10</v>
      </c>
      <c r="D5" s="7">
        <v>19</v>
      </c>
      <c r="E5" s="4"/>
      <c r="F5" s="6" t="s">
        <v>53</v>
      </c>
      <c r="G5" s="7">
        <v>15</v>
      </c>
      <c r="H5" s="12"/>
      <c r="I5" s="8"/>
      <c r="J5" s="8"/>
      <c r="K5" s="11">
        <v>14</v>
      </c>
      <c r="L5" s="9">
        <f t="shared" si="0"/>
        <v>29</v>
      </c>
      <c r="O5" s="2" t="s">
        <v>125</v>
      </c>
      <c r="P5" s="2">
        <v>30</v>
      </c>
      <c r="Q5" s="2" t="s">
        <v>126</v>
      </c>
      <c r="R5" s="2">
        <v>22</v>
      </c>
    </row>
    <row r="6" spans="1:18">
      <c r="A6" s="6" t="s">
        <v>67</v>
      </c>
      <c r="B6" s="7">
        <v>25</v>
      </c>
      <c r="C6" s="7">
        <v>9</v>
      </c>
      <c r="D6" s="7">
        <v>16</v>
      </c>
      <c r="E6" s="4"/>
      <c r="F6" s="6" t="s">
        <v>67</v>
      </c>
      <c r="G6" s="7">
        <v>10</v>
      </c>
      <c r="H6" s="8"/>
      <c r="I6" s="13"/>
      <c r="J6" s="7">
        <v>15</v>
      </c>
      <c r="K6" s="8"/>
      <c r="L6" s="9">
        <f t="shared" si="0"/>
        <v>25</v>
      </c>
      <c r="O6" s="2" t="s">
        <v>127</v>
      </c>
      <c r="P6" s="2">
        <v>30</v>
      </c>
      <c r="Q6" s="2" t="s">
        <v>128</v>
      </c>
      <c r="R6" s="2">
        <v>20</v>
      </c>
    </row>
    <row r="7" spans="1:18">
      <c r="A7" s="6" t="s">
        <v>78</v>
      </c>
      <c r="B7" s="7">
        <v>26</v>
      </c>
      <c r="C7" s="7">
        <v>7</v>
      </c>
      <c r="D7" s="7">
        <v>19</v>
      </c>
      <c r="E7" s="4"/>
      <c r="F7" s="6" t="s">
        <v>78</v>
      </c>
      <c r="G7" s="7">
        <v>15</v>
      </c>
      <c r="H7" s="8"/>
      <c r="I7" s="8"/>
      <c r="J7" s="7">
        <v>11</v>
      </c>
      <c r="K7" s="8"/>
      <c r="L7" s="9">
        <f t="shared" si="0"/>
        <v>26</v>
      </c>
      <c r="O7" s="2" t="s">
        <v>129</v>
      </c>
      <c r="P7" s="2">
        <v>15</v>
      </c>
      <c r="Q7" s="2"/>
      <c r="R7" s="2">
        <f>SUM(R4:R6)</f>
        <v>65</v>
      </c>
    </row>
    <row r="8" spans="1:18">
      <c r="A8" s="6" t="s">
        <v>84</v>
      </c>
      <c r="B8" s="7">
        <v>28</v>
      </c>
      <c r="C8" s="12">
        <v>8</v>
      </c>
      <c r="D8" s="7">
        <v>20</v>
      </c>
      <c r="E8" s="4"/>
      <c r="F8" s="6" t="s">
        <v>84</v>
      </c>
      <c r="G8" s="7">
        <v>20</v>
      </c>
      <c r="H8" s="8"/>
      <c r="I8" s="8"/>
      <c r="J8" s="12">
        <v>8</v>
      </c>
      <c r="K8" s="8"/>
      <c r="L8" s="9">
        <f t="shared" si="0"/>
        <v>28</v>
      </c>
    </row>
    <row r="9" spans="1:18">
      <c r="A9" s="6" t="s">
        <v>93</v>
      </c>
      <c r="B9" s="7">
        <v>27</v>
      </c>
      <c r="C9" s="7">
        <v>8</v>
      </c>
      <c r="D9" s="7">
        <v>19</v>
      </c>
      <c r="E9" s="4"/>
      <c r="F9" s="6" t="s">
        <v>93</v>
      </c>
      <c r="G9" s="7">
        <v>18</v>
      </c>
      <c r="H9" s="8"/>
      <c r="I9" s="8"/>
      <c r="J9" s="7">
        <v>9</v>
      </c>
      <c r="K9" s="8"/>
      <c r="L9" s="9">
        <f t="shared" si="0"/>
        <v>27</v>
      </c>
      <c r="O9" s="2" t="s">
        <v>130</v>
      </c>
      <c r="P9" s="2">
        <v>27</v>
      </c>
      <c r="Q9" s="14"/>
      <c r="R9" s="14"/>
    </row>
    <row r="10" spans="1:18">
      <c r="A10" s="6" t="s">
        <v>99</v>
      </c>
      <c r="B10" s="7">
        <v>26</v>
      </c>
      <c r="C10" s="7">
        <v>8</v>
      </c>
      <c r="D10" s="7">
        <v>18</v>
      </c>
      <c r="E10" s="4"/>
      <c r="F10" s="6" t="s">
        <v>99</v>
      </c>
      <c r="G10" s="7">
        <v>15</v>
      </c>
      <c r="H10" s="8"/>
      <c r="I10" s="8"/>
      <c r="J10" s="7">
        <v>11</v>
      </c>
      <c r="K10" s="8"/>
      <c r="L10" s="9">
        <f t="shared" si="0"/>
        <v>26</v>
      </c>
      <c r="O10" s="2" t="s">
        <v>131</v>
      </c>
      <c r="P10" s="2">
        <v>14</v>
      </c>
    </row>
    <row r="11" spans="1:18">
      <c r="A11" s="6" t="s">
        <v>105</v>
      </c>
      <c r="B11" s="7">
        <v>23</v>
      </c>
      <c r="C11" s="12">
        <v>8</v>
      </c>
      <c r="D11" s="7">
        <v>15</v>
      </c>
      <c r="E11" s="4"/>
      <c r="F11" s="6" t="s">
        <v>105</v>
      </c>
      <c r="G11" s="7">
        <v>12</v>
      </c>
      <c r="H11" s="8"/>
      <c r="I11" s="8"/>
      <c r="J11" s="7">
        <v>11</v>
      </c>
      <c r="K11" s="8"/>
      <c r="L11" s="9">
        <f t="shared" si="0"/>
        <v>23</v>
      </c>
      <c r="P11" s="9">
        <f>SUM(P1:P10)</f>
        <v>175</v>
      </c>
      <c r="R11" s="9">
        <f>SUM(P11,R7,R9)</f>
        <v>240</v>
      </c>
    </row>
    <row r="12" spans="1:18">
      <c r="A12" s="6"/>
      <c r="B12" s="12">
        <f t="shared" ref="B12:D12" si="1">SUM(B3:B11)</f>
        <v>240</v>
      </c>
      <c r="C12" s="12">
        <f t="shared" si="1"/>
        <v>84</v>
      </c>
      <c r="D12" s="12">
        <f t="shared" si="1"/>
        <v>156</v>
      </c>
      <c r="E12" s="4"/>
      <c r="F12" s="6"/>
      <c r="G12" s="12">
        <f t="shared" ref="G12:K12" si="2">SUM(G3:G11)</f>
        <v>105</v>
      </c>
      <c r="H12" s="12">
        <f t="shared" si="2"/>
        <v>41</v>
      </c>
      <c r="I12" s="12">
        <f t="shared" si="2"/>
        <v>0</v>
      </c>
      <c r="J12" s="12">
        <f t="shared" si="2"/>
        <v>65</v>
      </c>
      <c r="K12" s="8">
        <f t="shared" si="2"/>
        <v>29</v>
      </c>
      <c r="L12" s="9">
        <f t="shared" si="0"/>
        <v>240</v>
      </c>
    </row>
    <row r="13" spans="1:1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8">
      <c r="A15" s="4"/>
      <c r="B15" s="4"/>
      <c r="C15" s="4"/>
      <c r="D15" s="4"/>
      <c r="E15" s="4"/>
      <c r="F15" s="1"/>
      <c r="G15" s="5" t="s">
        <v>132</v>
      </c>
      <c r="H15" s="5" t="s">
        <v>133</v>
      </c>
      <c r="I15" s="5" t="s">
        <v>134</v>
      </c>
      <c r="J15" s="4"/>
      <c r="K15" s="4"/>
      <c r="O15" s="2" t="s">
        <v>135</v>
      </c>
      <c r="P15" s="2">
        <v>17</v>
      </c>
    </row>
    <row r="16" spans="1:18">
      <c r="A16" s="4"/>
      <c r="B16" s="4"/>
      <c r="C16" s="4"/>
      <c r="D16" s="4"/>
      <c r="E16" s="4"/>
      <c r="F16" s="6" t="s">
        <v>8</v>
      </c>
      <c r="G16" s="8"/>
      <c r="H16" s="8"/>
      <c r="I16" s="7">
        <v>27</v>
      </c>
      <c r="J16" s="4"/>
      <c r="K16" s="4"/>
      <c r="O16" s="2"/>
      <c r="P16" s="2"/>
    </row>
    <row r="17" spans="1:16">
      <c r="A17" s="4"/>
      <c r="B17" s="4"/>
      <c r="C17" s="4"/>
      <c r="D17" s="4"/>
      <c r="E17" s="4"/>
      <c r="F17" s="6" t="s">
        <v>32</v>
      </c>
      <c r="G17" s="7">
        <v>1</v>
      </c>
      <c r="H17" s="7">
        <v>13</v>
      </c>
      <c r="I17" s="7">
        <v>15</v>
      </c>
      <c r="J17" s="4"/>
      <c r="K17" s="4"/>
      <c r="O17" s="2" t="s">
        <v>136</v>
      </c>
      <c r="P17" s="2">
        <v>28</v>
      </c>
    </row>
    <row r="18" spans="1:16">
      <c r="A18" s="4"/>
      <c r="B18" s="4"/>
      <c r="C18" s="4"/>
      <c r="D18" s="4"/>
      <c r="E18" s="4"/>
      <c r="F18" s="6" t="s">
        <v>53</v>
      </c>
      <c r="G18" s="7">
        <v>10</v>
      </c>
      <c r="H18" s="7">
        <v>9</v>
      </c>
      <c r="I18" s="7">
        <v>10</v>
      </c>
      <c r="J18" s="4"/>
      <c r="K18" s="4"/>
      <c r="O18" s="2" t="s">
        <v>137</v>
      </c>
      <c r="P18" s="2">
        <v>20</v>
      </c>
    </row>
    <row r="19" spans="1:16">
      <c r="A19" s="4"/>
      <c r="B19" s="4"/>
      <c r="C19" s="4"/>
      <c r="D19" s="4"/>
      <c r="E19" s="4"/>
      <c r="F19" s="6" t="s">
        <v>67</v>
      </c>
      <c r="G19" s="7">
        <v>6</v>
      </c>
      <c r="H19" s="7">
        <v>8</v>
      </c>
      <c r="I19" s="7">
        <v>11</v>
      </c>
      <c r="J19" s="4"/>
      <c r="K19" s="4"/>
      <c r="O19" s="2" t="s">
        <v>138</v>
      </c>
      <c r="P19" s="2">
        <v>29</v>
      </c>
    </row>
    <row r="20" spans="1:16">
      <c r="A20" s="4"/>
      <c r="B20" s="4"/>
      <c r="C20" s="4"/>
      <c r="D20" s="4"/>
      <c r="E20" s="4"/>
      <c r="F20" s="6" t="s">
        <v>78</v>
      </c>
      <c r="G20" s="8"/>
      <c r="H20" s="8"/>
      <c r="I20" s="7">
        <v>26</v>
      </c>
      <c r="J20" s="4"/>
      <c r="K20" s="4"/>
      <c r="O20" s="2"/>
      <c r="P20" s="2"/>
    </row>
    <row r="21" spans="1:16">
      <c r="A21" s="4"/>
      <c r="B21" s="4"/>
      <c r="C21" s="4"/>
      <c r="D21" s="4"/>
      <c r="E21" s="4"/>
      <c r="F21" s="6" t="s">
        <v>84</v>
      </c>
      <c r="G21" s="8"/>
      <c r="H21" s="7">
        <v>28</v>
      </c>
      <c r="I21" s="8"/>
      <c r="J21" s="4"/>
      <c r="K21" s="4"/>
      <c r="O21" s="15" t="s">
        <v>139</v>
      </c>
      <c r="P21" s="15">
        <v>27</v>
      </c>
    </row>
    <row r="22" spans="1:16">
      <c r="A22" s="4"/>
      <c r="B22" s="4"/>
      <c r="C22" s="4"/>
      <c r="D22" s="4"/>
      <c r="E22" s="4"/>
      <c r="F22" s="6" t="s">
        <v>93</v>
      </c>
      <c r="G22" s="8"/>
      <c r="H22" s="8"/>
      <c r="I22" s="7">
        <v>27</v>
      </c>
      <c r="J22" s="4"/>
      <c r="K22" s="4"/>
      <c r="O22" s="15" t="s">
        <v>140</v>
      </c>
      <c r="P22" s="15">
        <v>26</v>
      </c>
    </row>
    <row r="23" spans="1:16">
      <c r="A23" s="4"/>
      <c r="B23" s="4"/>
      <c r="C23" s="4"/>
      <c r="D23" s="4"/>
      <c r="E23" s="4"/>
      <c r="F23" s="6" t="s">
        <v>99</v>
      </c>
      <c r="G23" s="8"/>
      <c r="H23" s="7">
        <v>11</v>
      </c>
      <c r="I23" s="7">
        <v>15</v>
      </c>
      <c r="J23" s="4"/>
      <c r="K23" s="4"/>
      <c r="O23" s="2" t="s">
        <v>141</v>
      </c>
      <c r="P23" s="2">
        <v>27</v>
      </c>
    </row>
    <row r="24" spans="1:16">
      <c r="A24" s="4"/>
      <c r="B24" s="4"/>
      <c r="C24" s="4"/>
      <c r="D24" s="4"/>
      <c r="E24" s="4"/>
      <c r="F24" s="6" t="s">
        <v>105</v>
      </c>
      <c r="G24" s="8"/>
      <c r="H24" s="7">
        <v>8</v>
      </c>
      <c r="I24" s="7">
        <v>15</v>
      </c>
      <c r="J24" s="4"/>
      <c r="K24" s="4"/>
      <c r="O24" s="2" t="s">
        <v>142</v>
      </c>
      <c r="P24" s="2">
        <v>25</v>
      </c>
    </row>
    <row r="25" spans="1:16">
      <c r="A25" s="4"/>
      <c r="B25" s="4"/>
      <c r="C25" s="4"/>
      <c r="D25" s="4"/>
      <c r="E25" s="4"/>
      <c r="F25" s="6"/>
      <c r="G25" s="12">
        <f t="shared" ref="G25:I25" si="3">SUM(G16:G24)</f>
        <v>17</v>
      </c>
      <c r="H25" s="12">
        <f t="shared" si="3"/>
        <v>77</v>
      </c>
      <c r="I25" s="12">
        <f t="shared" si="3"/>
        <v>146</v>
      </c>
      <c r="J25" s="4">
        <f>SUM(G25:I25)</f>
        <v>240</v>
      </c>
      <c r="K25" s="4"/>
      <c r="O25" s="2" t="s">
        <v>143</v>
      </c>
      <c r="P25" s="2">
        <v>26</v>
      </c>
    </row>
    <row r="26" spans="1:16">
      <c r="O26" s="2" t="s">
        <v>144</v>
      </c>
      <c r="P26" s="2">
        <v>15</v>
      </c>
    </row>
    <row r="27" spans="1:16">
      <c r="P27" s="9">
        <f>SUM(P15:P26)</f>
        <v>240</v>
      </c>
    </row>
  </sheetData>
  <mergeCells count="1">
    <mergeCell ref="A1:B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Klasser</vt:lpstr>
      <vt:lpstr>Kunst og sprog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 Stæger-Holst Thulstrup</cp:lastModifiedBy>
  <dcterms:created xsi:type="dcterms:W3CDTF">2026-02-03T09:53:10Z</dcterms:created>
  <dcterms:modified xsi:type="dcterms:W3CDTF">2026-02-03T09:53:10Z</dcterms:modified>
</cp:coreProperties>
</file>